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yanni\Desktop\Python\DERIVATIVES\Stocktrak\"/>
    </mc:Choice>
  </mc:AlternateContent>
  <xr:revisionPtr revIDLastSave="0" documentId="13_ncr:1_{46F4F757-A1E9-4771-88D8-9A061492B586}" xr6:coauthVersionLast="47" xr6:coauthVersionMax="47" xr10:uidLastSave="{00000000-0000-0000-0000-000000000000}"/>
  <bookViews>
    <workbookView xWindow="-108" yWindow="-108" windowWidth="23256" windowHeight="12456" firstSheet="1" activeTab="5" xr2:uid="{00000000-000D-0000-FFFF-FFFF00000000}"/>
  </bookViews>
  <sheets>
    <sheet name="Formeyannis" sheetId="6" r:id="rId1"/>
    <sheet name="Our strategy" sheetId="5" r:id="rId2"/>
    <sheet name="Trading Contest rules" sheetId="4" r:id="rId3"/>
    <sheet name="Mutual Fund" sheetId="13" r:id="rId4"/>
    <sheet name="Trading_Journal" sheetId="11" r:id="rId5"/>
    <sheet name="Dashboard" sheetId="3" r:id="rId6"/>
    <sheet name="Bonds" sheetId="9" r:id="rId7"/>
    <sheet name="Bonds Strategy" sheetId="10" r:id="rId8"/>
  </sheets>
  <definedNames>
    <definedName name="_xlnm._FilterDatabase" localSheetId="6" hidden="1">Bonds!$A$1:$I$205</definedName>
    <definedName name="_xlnm._FilterDatabase" localSheetId="5" hidden="1">Dashboard!$A$1:$Y$149</definedName>
    <definedName name="_xlnm._FilterDatabase" localSheetId="1" hidden="1">'Our strategy'!$A$1:$A$3</definedName>
    <definedName name="_xlnm._FilterDatabase" localSheetId="4" hidden="1">Trading_Journal!$A$1:$AM$258</definedName>
  </definedNames>
  <calcPr calcId="191028"/>
  <pivotCaches>
    <pivotCache cacheId="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12" i="11" l="1"/>
  <c r="T13" i="11"/>
  <c r="T14"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T106" i="11"/>
  <c r="T107" i="11"/>
  <c r="T108" i="11"/>
  <c r="T109" i="11"/>
  <c r="T110" i="11"/>
  <c r="T111" i="11"/>
  <c r="T112" i="11"/>
  <c r="T113" i="11"/>
  <c r="T114" i="11"/>
  <c r="T115" i="11"/>
  <c r="T116" i="11"/>
  <c r="T117" i="11"/>
  <c r="T118" i="11"/>
  <c r="T119" i="11"/>
  <c r="T120" i="11"/>
  <c r="T121" i="11"/>
  <c r="T122" i="11"/>
  <c r="T123" i="11"/>
  <c r="T124" i="11"/>
  <c r="T125" i="11"/>
  <c r="T126" i="11"/>
  <c r="T127" i="11"/>
  <c r="T128" i="11"/>
  <c r="T129" i="11"/>
  <c r="T130" i="11"/>
  <c r="T131" i="11"/>
  <c r="T132" i="11"/>
  <c r="T133" i="11"/>
  <c r="T134" i="11"/>
  <c r="T135" i="11"/>
  <c r="T136" i="11"/>
  <c r="T137" i="11"/>
  <c r="T138" i="11"/>
  <c r="T139" i="11"/>
  <c r="T140" i="11"/>
  <c r="T141" i="11"/>
  <c r="T142" i="11"/>
  <c r="T143" i="11"/>
  <c r="T144" i="11"/>
  <c r="T145" i="11"/>
  <c r="T146" i="11"/>
  <c r="T147" i="11"/>
  <c r="T148" i="11"/>
  <c r="T149" i="11"/>
  <c r="T150" i="11"/>
  <c r="T151" i="11"/>
  <c r="T152" i="11"/>
  <c r="T153" i="11"/>
  <c r="T154" i="11"/>
  <c r="T155" i="11"/>
  <c r="T156" i="11"/>
  <c r="T157" i="11"/>
  <c r="T158" i="11"/>
  <c r="T159" i="11"/>
  <c r="T160" i="11"/>
  <c r="T161" i="11"/>
  <c r="T162" i="11"/>
  <c r="T163" i="11"/>
  <c r="T164" i="11"/>
  <c r="T165" i="11"/>
  <c r="T166" i="11"/>
  <c r="T167" i="11"/>
  <c r="T168" i="11"/>
  <c r="T169" i="11"/>
  <c r="T170" i="11"/>
  <c r="T171" i="11"/>
  <c r="T172" i="11"/>
  <c r="T173" i="11"/>
  <c r="T174" i="11"/>
  <c r="T175" i="11"/>
  <c r="T176" i="11"/>
  <c r="T177" i="11"/>
  <c r="T178" i="11"/>
  <c r="T179" i="11"/>
  <c r="T180" i="11"/>
  <c r="T181" i="11"/>
  <c r="T182" i="11"/>
  <c r="T183" i="11"/>
  <c r="T184" i="11"/>
  <c r="T185" i="11"/>
  <c r="T186" i="11"/>
  <c r="T187" i="11"/>
  <c r="T188" i="11"/>
  <c r="T189" i="11"/>
  <c r="T190" i="11"/>
  <c r="T191" i="11"/>
  <c r="T192" i="11"/>
  <c r="T193" i="11"/>
  <c r="T194" i="11"/>
  <c r="T195" i="11"/>
  <c r="T196" i="11"/>
  <c r="T197" i="11"/>
  <c r="T198" i="11"/>
  <c r="T199" i="11"/>
  <c r="T200" i="11"/>
  <c r="T201" i="11"/>
  <c r="T202" i="11"/>
  <c r="T203" i="11"/>
  <c r="T204" i="11"/>
  <c r="T205" i="11"/>
  <c r="T206" i="11"/>
  <c r="T207" i="11"/>
  <c r="T208" i="11"/>
  <c r="T209" i="11"/>
  <c r="T210" i="11"/>
  <c r="T211" i="11"/>
  <c r="T212" i="11"/>
  <c r="T213" i="11"/>
  <c r="T214" i="11"/>
  <c r="T215" i="11"/>
  <c r="T216" i="11"/>
  <c r="T217" i="11"/>
  <c r="T218" i="11"/>
  <c r="T219" i="11"/>
  <c r="T220" i="11"/>
  <c r="T221" i="11"/>
  <c r="T222" i="11"/>
  <c r="T223" i="11"/>
  <c r="T224" i="11"/>
  <c r="T225" i="11"/>
  <c r="T226" i="11"/>
  <c r="T227" i="11"/>
  <c r="T228" i="11"/>
  <c r="T229" i="11"/>
  <c r="T230" i="11"/>
  <c r="T231" i="11"/>
  <c r="T232" i="11"/>
  <c r="T233" i="11"/>
  <c r="T234" i="11"/>
  <c r="T235" i="11"/>
  <c r="T236" i="11"/>
  <c r="T237" i="11"/>
  <c r="T238" i="11"/>
  <c r="T239" i="11"/>
  <c r="T240" i="11"/>
  <c r="T241" i="11"/>
  <c r="T242" i="11"/>
  <c r="T243" i="11"/>
  <c r="T244" i="11"/>
  <c r="T245" i="11"/>
  <c r="T246" i="11"/>
  <c r="T247" i="11"/>
  <c r="T248" i="11"/>
  <c r="T249" i="11"/>
  <c r="T250" i="11"/>
  <c r="T251" i="11"/>
  <c r="T252" i="11"/>
  <c r="T253" i="11"/>
  <c r="F44" i="3"/>
  <c r="F31" i="3"/>
  <c r="F113" i="3"/>
  <c r="F112" i="3"/>
  <c r="F108" i="3"/>
  <c r="F106" i="3"/>
  <c r="F102" i="3"/>
  <c r="F43" i="3"/>
  <c r="F30" i="3"/>
  <c r="F29" i="3"/>
  <c r="F28" i="3"/>
  <c r="F23" i="3"/>
  <c r="F22" i="3"/>
  <c r="F15" i="3"/>
  <c r="F12" i="3"/>
  <c r="I3" i="3"/>
  <c r="R253" i="11"/>
  <c r="S253" i="11" s="1"/>
  <c r="R250" i="11"/>
  <c r="S250" i="11" s="1"/>
  <c r="R251" i="11"/>
  <c r="S251" i="11" s="1"/>
  <c r="R252" i="11"/>
  <c r="S252" i="11" s="1"/>
  <c r="G113" i="3"/>
  <c r="G112" i="3"/>
  <c r="G108" i="3"/>
  <c r="G106" i="3"/>
  <c r="G102" i="3"/>
  <c r="G43" i="3"/>
  <c r="G30" i="3"/>
  <c r="G29" i="3"/>
  <c r="G28" i="3"/>
  <c r="G23" i="3"/>
  <c r="G22" i="3"/>
  <c r="G12" i="3"/>
  <c r="G15" i="3"/>
  <c r="H3" i="3"/>
  <c r="R246" i="11"/>
  <c r="S246" i="11" s="1"/>
  <c r="R247" i="11"/>
  <c r="S247" i="11" s="1"/>
  <c r="R248" i="11"/>
  <c r="S248" i="11" s="1"/>
  <c r="R249" i="11"/>
  <c r="S249" i="11" s="1"/>
  <c r="R146" i="11"/>
  <c r="S146" i="11" s="1"/>
  <c r="R151" i="11"/>
  <c r="S151" i="11" s="1"/>
  <c r="R150" i="11"/>
  <c r="S150" i="11" s="1"/>
  <c r="R149" i="11"/>
  <c r="S149" i="11" s="1"/>
  <c r="R212" i="11"/>
  <c r="S212" i="11" s="1"/>
  <c r="R213" i="11"/>
  <c r="S213" i="11" s="1"/>
  <c r="R214" i="11"/>
  <c r="S214" i="11" s="1"/>
  <c r="R215" i="11"/>
  <c r="S215" i="11" s="1"/>
  <c r="R216" i="11"/>
  <c r="S216" i="11" s="1"/>
  <c r="R217" i="11"/>
  <c r="S217" i="11" s="1"/>
  <c r="R218" i="11"/>
  <c r="S218" i="11" s="1"/>
  <c r="R219" i="11"/>
  <c r="S219" i="11" s="1"/>
  <c r="R220" i="11"/>
  <c r="S220" i="11" s="1"/>
  <c r="R221" i="11"/>
  <c r="S221" i="11" s="1"/>
  <c r="R222" i="11"/>
  <c r="S222" i="11" s="1"/>
  <c r="R223" i="11"/>
  <c r="S223" i="11" s="1"/>
  <c r="R224" i="11"/>
  <c r="S224" i="11" s="1"/>
  <c r="R225" i="11"/>
  <c r="S225" i="11" s="1"/>
  <c r="R226" i="11"/>
  <c r="S226" i="11" s="1"/>
  <c r="R227" i="11"/>
  <c r="S227" i="11" s="1"/>
  <c r="R228" i="11"/>
  <c r="S228" i="11" s="1"/>
  <c r="R229" i="11"/>
  <c r="S229" i="11" s="1"/>
  <c r="R230" i="11"/>
  <c r="S230" i="11" s="1"/>
  <c r="R231" i="11"/>
  <c r="S231" i="11" s="1"/>
  <c r="R232" i="11"/>
  <c r="S232" i="11" s="1"/>
  <c r="R233" i="11"/>
  <c r="S233" i="11" s="1"/>
  <c r="R234" i="11"/>
  <c r="S234" i="11" s="1"/>
  <c r="R235" i="11"/>
  <c r="S235" i="11" s="1"/>
  <c r="R236" i="11"/>
  <c r="S236" i="11" s="1"/>
  <c r="R237" i="11"/>
  <c r="S237" i="11" s="1"/>
  <c r="R238" i="11"/>
  <c r="S238" i="11" s="1"/>
  <c r="R239" i="11"/>
  <c r="S239" i="11" s="1"/>
  <c r="R240" i="11"/>
  <c r="S240" i="11" s="1"/>
  <c r="R241" i="11"/>
  <c r="S241" i="11" s="1"/>
  <c r="R242" i="11"/>
  <c r="S242" i="11" s="1"/>
  <c r="R182" i="11"/>
  <c r="S182" i="11" s="1"/>
  <c r="R183" i="11"/>
  <c r="S183" i="11" s="1"/>
  <c r="R184" i="11"/>
  <c r="S184" i="11" s="1"/>
  <c r="R185" i="11"/>
  <c r="S185" i="11" s="1"/>
  <c r="R186" i="11"/>
  <c r="S186" i="11" s="1"/>
  <c r="R187" i="11"/>
  <c r="S187" i="11" s="1"/>
  <c r="R188" i="11"/>
  <c r="S188" i="11" s="1"/>
  <c r="R189" i="11"/>
  <c r="S189" i="11" s="1"/>
  <c r="R190" i="11"/>
  <c r="S190" i="11" s="1"/>
  <c r="R191" i="11"/>
  <c r="S191" i="11" s="1"/>
  <c r="R192" i="11"/>
  <c r="S192" i="11" s="1"/>
  <c r="R193" i="11"/>
  <c r="S193" i="11" s="1"/>
  <c r="R194" i="11"/>
  <c r="S194" i="11" s="1"/>
  <c r="R195" i="11"/>
  <c r="S195" i="11" s="1"/>
  <c r="R196" i="11"/>
  <c r="S196" i="11" s="1"/>
  <c r="R197" i="11"/>
  <c r="S197" i="11" s="1"/>
  <c r="R198" i="11"/>
  <c r="S198" i="11" s="1"/>
  <c r="R199" i="11"/>
  <c r="S199" i="11" s="1"/>
  <c r="R200" i="11"/>
  <c r="S200" i="11" s="1"/>
  <c r="R201" i="11"/>
  <c r="S201" i="11" s="1"/>
  <c r="R202" i="11"/>
  <c r="S202" i="11" s="1"/>
  <c r="R203" i="11"/>
  <c r="S203" i="11" s="1"/>
  <c r="R204" i="11"/>
  <c r="S204" i="11" s="1"/>
  <c r="R205" i="11"/>
  <c r="S205" i="11" s="1"/>
  <c r="R206" i="11"/>
  <c r="S206" i="11" s="1"/>
  <c r="R207" i="11"/>
  <c r="S207" i="11" s="1"/>
  <c r="R208" i="11"/>
  <c r="S208" i="11" s="1"/>
  <c r="R209" i="11"/>
  <c r="S209" i="11" s="1"/>
  <c r="R210" i="11"/>
  <c r="S210" i="11" s="1"/>
  <c r="R211" i="11"/>
  <c r="S211" i="11" s="1"/>
  <c r="R180" i="11"/>
  <c r="S180" i="11" s="1"/>
  <c r="R181" i="11"/>
  <c r="S181" i="11" s="1"/>
  <c r="R141" i="11"/>
  <c r="S141" i="11" s="1"/>
  <c r="R163" i="11"/>
  <c r="S163" i="11" s="1"/>
  <c r="R164" i="11"/>
  <c r="S164" i="11" s="1"/>
  <c r="R165" i="11"/>
  <c r="S165" i="11" s="1"/>
  <c r="R133" i="11"/>
  <c r="S133" i="11" s="1"/>
  <c r="R121" i="11"/>
  <c r="S121" i="11" s="1"/>
  <c r="R120" i="11"/>
  <c r="S120" i="11" s="1"/>
  <c r="R122" i="11"/>
  <c r="S122" i="11" s="1"/>
  <c r="R123" i="11"/>
  <c r="S123" i="11" s="1"/>
  <c r="R125" i="11"/>
  <c r="S125" i="11" s="1"/>
  <c r="R124" i="11"/>
  <c r="S124" i="11" s="1"/>
  <c r="R153" i="11"/>
  <c r="S153" i="11" s="1"/>
  <c r="R154" i="11"/>
  <c r="S154" i="11" s="1"/>
  <c r="R155" i="11"/>
  <c r="S155" i="11" s="1"/>
  <c r="R156" i="11"/>
  <c r="S156" i="11" s="1"/>
  <c r="R157" i="11"/>
  <c r="S157" i="11" s="1"/>
  <c r="R158" i="11"/>
  <c r="S158" i="11" s="1"/>
  <c r="R159" i="11"/>
  <c r="S159" i="11" s="1"/>
  <c r="R160" i="11"/>
  <c r="S160" i="11" s="1"/>
  <c r="R161" i="11"/>
  <c r="S161" i="11" s="1"/>
  <c r="R162" i="11"/>
  <c r="S162" i="11" s="1"/>
  <c r="R119" i="11"/>
  <c r="S119" i="11" s="1"/>
  <c r="R126" i="11"/>
  <c r="S126" i="11" s="1"/>
  <c r="R127" i="11"/>
  <c r="S127" i="11" s="1"/>
  <c r="R128" i="11"/>
  <c r="S128" i="11" s="1"/>
  <c r="R129" i="11"/>
  <c r="S129" i="11" s="1"/>
  <c r="R131" i="11"/>
  <c r="S131" i="11" s="1"/>
  <c r="R130" i="11"/>
  <c r="S130" i="11" s="1"/>
  <c r="R132" i="11"/>
  <c r="S132" i="11" s="1"/>
  <c r="R134" i="11"/>
  <c r="S134" i="11" s="1"/>
  <c r="R135" i="11"/>
  <c r="S135" i="11" s="1"/>
  <c r="R136" i="11"/>
  <c r="S136" i="11" s="1"/>
  <c r="R137" i="11"/>
  <c r="S137" i="11" s="1"/>
  <c r="R138" i="11"/>
  <c r="S138" i="11" s="1"/>
  <c r="R139" i="11"/>
  <c r="S139" i="11" s="1"/>
  <c r="R140" i="11"/>
  <c r="S140" i="11" s="1"/>
  <c r="R142" i="11"/>
  <c r="S142" i="11" s="1"/>
  <c r="R143" i="11"/>
  <c r="S143" i="11" s="1"/>
  <c r="R144" i="11"/>
  <c r="S144" i="11" s="1"/>
  <c r="R145" i="11"/>
  <c r="S145" i="11" s="1"/>
  <c r="R147" i="11"/>
  <c r="S147" i="11" s="1"/>
  <c r="R148" i="11"/>
  <c r="S148" i="11" s="1"/>
  <c r="R152" i="11"/>
  <c r="S152" i="11" s="1"/>
  <c r="R178" i="11"/>
  <c r="S178" i="11" s="1"/>
  <c r="R179" i="11"/>
  <c r="S179" i="11" s="1"/>
  <c r="R177" i="11"/>
  <c r="S177" i="11" s="1"/>
  <c r="R173" i="11"/>
  <c r="S173" i="11" s="1"/>
  <c r="R174" i="11"/>
  <c r="S174" i="11" s="1"/>
  <c r="R175" i="11"/>
  <c r="S175" i="11" s="1"/>
  <c r="R176" i="11"/>
  <c r="S176" i="11" s="1"/>
  <c r="R172" i="11"/>
  <c r="S172" i="11" s="1"/>
  <c r="R170" i="11"/>
  <c r="S170" i="11" s="1"/>
  <c r="R167" i="11"/>
  <c r="S167" i="11" s="1"/>
  <c r="R168" i="11"/>
  <c r="S168" i="11" s="1"/>
  <c r="R169" i="11"/>
  <c r="S169" i="11" s="1"/>
  <c r="R166" i="11"/>
  <c r="S166" i="11" s="1"/>
  <c r="R117" i="11"/>
  <c r="S117" i="11" s="1"/>
  <c r="R118" i="11"/>
  <c r="S118" i="11" s="1"/>
  <c r="R114" i="11"/>
  <c r="S114" i="11" s="1"/>
  <c r="R115" i="11"/>
  <c r="S115" i="11" s="1"/>
  <c r="R116" i="11"/>
  <c r="S116" i="11" s="1"/>
  <c r="R104" i="11"/>
  <c r="S104" i="11" s="1"/>
  <c r="R105" i="11"/>
  <c r="S105" i="11" s="1"/>
  <c r="R106" i="11"/>
  <c r="S106" i="11" s="1"/>
  <c r="R107" i="11"/>
  <c r="S107" i="11" s="1"/>
  <c r="R108" i="11"/>
  <c r="S108" i="11" s="1"/>
  <c r="R109" i="11"/>
  <c r="S109" i="11" s="1"/>
  <c r="R110" i="11"/>
  <c r="S110" i="11" s="1"/>
  <c r="R111" i="11"/>
  <c r="S111" i="11" s="1"/>
  <c r="R112" i="11"/>
  <c r="S112" i="11" s="1"/>
  <c r="R113" i="11"/>
  <c r="S113" i="11" s="1"/>
  <c r="R62" i="11"/>
  <c r="S62" i="11" s="1"/>
  <c r="R63" i="11"/>
  <c r="S63" i="11" s="1"/>
  <c r="R64" i="11"/>
  <c r="S64" i="11" s="1"/>
  <c r="R65" i="11"/>
  <c r="S65" i="11" s="1"/>
  <c r="R66" i="11"/>
  <c r="S66" i="11" s="1"/>
  <c r="R67" i="11"/>
  <c r="S67" i="11" s="1"/>
  <c r="R68" i="11"/>
  <c r="S68" i="11" s="1"/>
  <c r="R69" i="11"/>
  <c r="S69" i="11" s="1"/>
  <c r="R70" i="11"/>
  <c r="S70" i="11" s="1"/>
  <c r="R71" i="11"/>
  <c r="S71" i="11" s="1"/>
  <c r="R72" i="11"/>
  <c r="S72" i="11" s="1"/>
  <c r="R73" i="11"/>
  <c r="S73" i="11" s="1"/>
  <c r="R74" i="11"/>
  <c r="S74" i="11" s="1"/>
  <c r="R75" i="11"/>
  <c r="S75" i="11" s="1"/>
  <c r="R76" i="11"/>
  <c r="S76" i="11" s="1"/>
  <c r="R77" i="11"/>
  <c r="S77" i="11" s="1"/>
  <c r="R78" i="11"/>
  <c r="S78" i="11" s="1"/>
  <c r="R79" i="11"/>
  <c r="S79" i="11" s="1"/>
  <c r="R80" i="11"/>
  <c r="S80" i="11" s="1"/>
  <c r="R81" i="11"/>
  <c r="S81" i="11" s="1"/>
  <c r="R82" i="11"/>
  <c r="S82" i="11" s="1"/>
  <c r="R83" i="11"/>
  <c r="S83" i="11" s="1"/>
  <c r="R84" i="11"/>
  <c r="S84" i="11" s="1"/>
  <c r="R85" i="11"/>
  <c r="S85" i="11" s="1"/>
  <c r="R86" i="11"/>
  <c r="S86" i="11" s="1"/>
  <c r="R87" i="11"/>
  <c r="S87" i="11" s="1"/>
  <c r="R88" i="11"/>
  <c r="S88" i="11" s="1"/>
  <c r="R89" i="11"/>
  <c r="S89" i="11" s="1"/>
  <c r="R90" i="11"/>
  <c r="S90" i="11" s="1"/>
  <c r="R91" i="11"/>
  <c r="S91" i="11" s="1"/>
  <c r="R92" i="11"/>
  <c r="S92" i="11" s="1"/>
  <c r="R93" i="11"/>
  <c r="S93" i="11" s="1"/>
  <c r="R94" i="11"/>
  <c r="S94" i="11" s="1"/>
  <c r="R95" i="11"/>
  <c r="S95" i="11" s="1"/>
  <c r="R96" i="11"/>
  <c r="S96" i="11" s="1"/>
  <c r="R97" i="11"/>
  <c r="S97" i="11" s="1"/>
  <c r="R98" i="11"/>
  <c r="S98" i="11" s="1"/>
  <c r="R99" i="11"/>
  <c r="S99" i="11" s="1"/>
  <c r="R100" i="11"/>
  <c r="S100" i="11" s="1"/>
  <c r="R101" i="11"/>
  <c r="S101" i="11" s="1"/>
  <c r="R102" i="11"/>
  <c r="S102" i="11" s="1"/>
  <c r="R103" i="11"/>
  <c r="S103" i="11" s="1"/>
  <c r="R50" i="11"/>
  <c r="S50" i="11" s="1"/>
  <c r="R51" i="11"/>
  <c r="S51" i="11" s="1"/>
  <c r="R52" i="11"/>
  <c r="S52" i="11" s="1"/>
  <c r="R53" i="11"/>
  <c r="S53" i="11" s="1"/>
  <c r="R54" i="11"/>
  <c r="S54" i="11" s="1"/>
  <c r="R55" i="11"/>
  <c r="S55" i="11" s="1"/>
  <c r="R56" i="11"/>
  <c r="S56" i="11" s="1"/>
  <c r="R57" i="11"/>
  <c r="S57" i="11" s="1"/>
  <c r="R58" i="11"/>
  <c r="S58" i="11" s="1"/>
  <c r="R59" i="11"/>
  <c r="S59" i="11" s="1"/>
  <c r="R60" i="11"/>
  <c r="S60" i="11" s="1"/>
  <c r="R61" i="11"/>
  <c r="S61" i="11" s="1"/>
  <c r="B10" i="3"/>
  <c r="B9" i="3"/>
  <c r="B8" i="3"/>
  <c r="B7" i="3"/>
  <c r="P5" i="11"/>
  <c r="P4" i="11"/>
  <c r="R28" i="11"/>
  <c r="S28" i="11" s="1"/>
  <c r="T28" i="11" s="1"/>
  <c r="R29" i="11"/>
  <c r="S29" i="11" s="1"/>
  <c r="T29" i="11" s="1"/>
  <c r="R30" i="11"/>
  <c r="S30" i="11" s="1"/>
  <c r="R31" i="11"/>
  <c r="S31" i="11" s="1"/>
  <c r="T31" i="11" s="1"/>
  <c r="R32" i="11"/>
  <c r="S32" i="11" s="1"/>
  <c r="T32" i="11" s="1"/>
  <c r="R33" i="11"/>
  <c r="S33" i="11" s="1"/>
  <c r="T33" i="11" s="1"/>
  <c r="R34" i="11"/>
  <c r="S34" i="11" s="1"/>
  <c r="T34" i="11" s="1"/>
  <c r="R35" i="11"/>
  <c r="S35" i="11" s="1"/>
  <c r="R36" i="11"/>
  <c r="S36" i="11" s="1"/>
  <c r="T36" i="11" s="1"/>
  <c r="R37" i="11"/>
  <c r="S37" i="11" s="1"/>
  <c r="T37" i="11" s="1"/>
  <c r="R38" i="11"/>
  <c r="S38" i="11" s="1"/>
  <c r="T38" i="11" s="1"/>
  <c r="R21" i="11"/>
  <c r="S21" i="11" s="1"/>
  <c r="T21" i="11" s="1"/>
  <c r="R22" i="11"/>
  <c r="S22" i="11" s="1"/>
  <c r="T22" i="11" s="1"/>
  <c r="R23" i="11"/>
  <c r="S23" i="11" s="1"/>
  <c r="R24" i="11"/>
  <c r="S24" i="11" s="1"/>
  <c r="R25" i="11"/>
  <c r="S25" i="11" s="1"/>
  <c r="T25" i="11" s="1"/>
  <c r="R26" i="11"/>
  <c r="S26" i="11" s="1"/>
  <c r="T26" i="11" s="1"/>
  <c r="R27" i="11"/>
  <c r="S27" i="11" s="1"/>
  <c r="M17" i="11"/>
  <c r="R14" i="11"/>
  <c r="S14" i="11" s="1"/>
  <c r="R12" i="11"/>
  <c r="S12" i="11" s="1"/>
  <c r="R13" i="11"/>
  <c r="S13" i="11" s="1"/>
  <c r="R16" i="11"/>
  <c r="S16" i="11" s="1"/>
  <c r="T16" i="11" s="1"/>
  <c r="R40" i="11"/>
  <c r="S40" i="11" s="1"/>
  <c r="R41" i="11"/>
  <c r="S41" i="11" s="1"/>
  <c r="R42" i="11"/>
  <c r="S42" i="11" s="1"/>
  <c r="R43" i="11"/>
  <c r="S43" i="11" s="1"/>
  <c r="R44" i="11"/>
  <c r="S44" i="11" s="1"/>
  <c r="R45" i="11"/>
  <c r="S45" i="11" s="1"/>
  <c r="R46" i="11"/>
  <c r="S46" i="11" s="1"/>
  <c r="R47" i="11"/>
  <c r="S47" i="11" s="1"/>
  <c r="R49" i="11"/>
  <c r="S49" i="11" s="1"/>
  <c r="M9" i="11"/>
  <c r="R9" i="11" s="1"/>
  <c r="T9" i="11" s="1"/>
  <c r="M8" i="11"/>
  <c r="R8" i="11" s="1"/>
  <c r="T8" i="11" s="1"/>
  <c r="M6" i="11"/>
  <c r="M5" i="11"/>
  <c r="R5" i="11" s="1"/>
  <c r="S5" i="11" s="1"/>
  <c r="T5" i="11" s="1"/>
  <c r="R11" i="11"/>
  <c r="S11" i="11" s="1"/>
  <c r="T11" i="11" s="1"/>
  <c r="R10" i="11"/>
  <c r="S10" i="11" s="1"/>
  <c r="T10" i="11" s="1"/>
  <c r="R7" i="11"/>
  <c r="S7" i="11" s="1"/>
  <c r="T7" i="11" s="1"/>
  <c r="R39" i="11"/>
  <c r="S39" i="11" s="1"/>
  <c r="T39" i="11" s="1"/>
  <c r="R20" i="11"/>
  <c r="S20" i="11" s="1"/>
  <c r="T20" i="11" s="1"/>
  <c r="R19" i="11"/>
  <c r="S19" i="11" s="1"/>
  <c r="R6" i="11"/>
  <c r="S6" i="11" s="1"/>
  <c r="R48" i="11"/>
  <c r="S48" i="11" s="1"/>
  <c r="G7" i="10"/>
  <c r="G8" i="10"/>
  <c r="G9" i="10"/>
  <c r="G6" i="10"/>
  <c r="C5" i="5"/>
  <c r="I18" i="6"/>
  <c r="I17" i="6"/>
  <c r="I16" i="6"/>
  <c r="I15" i="6"/>
  <c r="E12" i="5"/>
  <c r="H21" i="5"/>
  <c r="C3" i="5"/>
  <c r="E3" i="5" s="1"/>
  <c r="C4" i="5"/>
  <c r="E4" i="5" s="1"/>
  <c r="E5" i="5"/>
  <c r="C6" i="5"/>
  <c r="E6" i="5" s="1"/>
  <c r="C7" i="5"/>
  <c r="E7" i="5" s="1"/>
  <c r="C8" i="5"/>
  <c r="E8" i="5" s="1"/>
  <c r="C9" i="5"/>
  <c r="E9" i="5" s="1"/>
  <c r="C10" i="5"/>
  <c r="E10" i="5" s="1"/>
  <c r="C11" i="5"/>
  <c r="E11" i="5" s="1"/>
  <c r="C12" i="5"/>
  <c r="C13" i="5"/>
  <c r="E13" i="5" s="1"/>
  <c r="C2" i="5"/>
  <c r="E2" i="5" s="1"/>
  <c r="T19" i="11" l="1"/>
  <c r="T27" i="11"/>
  <c r="T24" i="11"/>
  <c r="T23" i="11"/>
  <c r="R171" i="11"/>
  <c r="S171" i="11" s="1"/>
  <c r="T30" i="11"/>
  <c r="R15" i="11"/>
  <c r="S15" i="11" s="1"/>
  <c r="R17" i="11"/>
  <c r="S17" i="11" s="1"/>
  <c r="R18" i="11"/>
  <c r="S18" i="11" s="1"/>
  <c r="R4" i="11"/>
  <c r="S4" i="11" s="1"/>
  <c r="T6" i="11"/>
  <c r="U39" i="11"/>
  <c r="T15" i="11" l="1"/>
  <c r="T18" i="11"/>
  <c r="T17" i="11"/>
  <c r="T4" i="11"/>
  <c r="H4" i="3"/>
  <c r="H5" i="3" s="1"/>
  <c r="H6" i="3" s="1"/>
  <c r="H7" i="3" s="1"/>
  <c r="H8" i="3" s="1"/>
  <c r="H9" i="3" s="1"/>
  <c r="H10" i="3" s="1"/>
  <c r="H11" i="3" s="1"/>
  <c r="H12" i="3" s="1"/>
  <c r="H13" i="3" s="1"/>
  <c r="H14" i="3" s="1"/>
  <c r="H15" i="3" s="1"/>
  <c r="H16" i="3" s="1"/>
  <c r="H17" i="3" s="1"/>
  <c r="H18" i="3" s="1"/>
  <c r="H19" i="3" s="1"/>
  <c r="H20" i="3" s="1"/>
  <c r="H21" i="3" s="1"/>
  <c r="H22" i="3" s="1"/>
  <c r="H23" i="3" s="1"/>
  <c r="H24" i="3" s="1"/>
  <c r="H25" i="3" s="1"/>
  <c r="H26" i="3" s="1"/>
  <c r="H27" i="3" s="1"/>
  <c r="H28" i="3" s="1"/>
  <c r="H29" i="3" s="1"/>
  <c r="H30" i="3" s="1"/>
  <c r="H31" i="3" s="1"/>
  <c r="H32" i="3" s="1"/>
  <c r="H33" i="3" s="1"/>
  <c r="H34" i="3" s="1"/>
  <c r="H35" i="3" s="1"/>
  <c r="H36" i="3" s="1"/>
  <c r="H37" i="3" s="1"/>
  <c r="H38" i="3" s="1"/>
  <c r="H39" i="3" s="1"/>
  <c r="H40" i="3" s="1"/>
  <c r="H41" i="3" s="1"/>
  <c r="H42" i="3" s="1"/>
  <c r="H43" i="3" s="1"/>
  <c r="H44" i="3" s="1"/>
  <c r="H45" i="3" s="1"/>
  <c r="H46" i="3" s="1"/>
  <c r="H47" i="3" s="1"/>
  <c r="H48" i="3" s="1"/>
  <c r="H49" i="3" s="1"/>
  <c r="H50" i="3" s="1"/>
  <c r="H51" i="3" s="1"/>
  <c r="H52" i="3" s="1"/>
  <c r="H53" i="3" s="1"/>
  <c r="H54" i="3" s="1"/>
  <c r="H55" i="3" s="1"/>
  <c r="H56" i="3" s="1"/>
  <c r="H57" i="3" s="1"/>
  <c r="H58" i="3" s="1"/>
  <c r="H59" i="3" s="1"/>
  <c r="H60" i="3" s="1"/>
  <c r="H61" i="3" s="1"/>
  <c r="H62" i="3" s="1"/>
  <c r="H63" i="3" s="1"/>
  <c r="H64" i="3" s="1"/>
  <c r="H65" i="3" s="1"/>
  <c r="H66" i="3" s="1"/>
  <c r="H67" i="3" s="1"/>
  <c r="H68" i="3" s="1"/>
  <c r="H69" i="3" s="1"/>
  <c r="H70" i="3" s="1"/>
  <c r="H71" i="3" s="1"/>
  <c r="H72" i="3" s="1"/>
  <c r="H73" i="3" s="1"/>
  <c r="H74" i="3" s="1"/>
  <c r="H75" i="3" s="1"/>
  <c r="H76" i="3" s="1"/>
  <c r="H77" i="3" s="1"/>
  <c r="H78" i="3" s="1"/>
  <c r="H79" i="3" s="1"/>
  <c r="H80" i="3" s="1"/>
  <c r="H81" i="3" s="1"/>
  <c r="H82" i="3" s="1"/>
  <c r="H83" i="3" s="1"/>
  <c r="H84" i="3" s="1"/>
  <c r="H85" i="3" s="1"/>
  <c r="H86" i="3" s="1"/>
  <c r="H87" i="3" s="1"/>
  <c r="H88" i="3" s="1"/>
  <c r="H89" i="3" s="1"/>
  <c r="H90" i="3" s="1"/>
  <c r="H91" i="3" s="1"/>
  <c r="H92" i="3" s="1"/>
  <c r="H93" i="3" s="1"/>
  <c r="H94" i="3" s="1"/>
  <c r="H95" i="3" s="1"/>
  <c r="H96" i="3" s="1"/>
  <c r="H97" i="3" s="1"/>
  <c r="H98" i="3" s="1"/>
  <c r="H99" i="3" s="1"/>
  <c r="H100" i="3" s="1"/>
  <c r="H101" i="3" s="1"/>
  <c r="H102" i="3" s="1"/>
  <c r="H103" i="3" s="1"/>
  <c r="H104" i="3" s="1"/>
  <c r="H105" i="3" s="1"/>
  <c r="H106" i="3" s="1"/>
  <c r="H107" i="3" s="1"/>
  <c r="H108" i="3" s="1"/>
  <c r="H109" i="3" s="1"/>
  <c r="H110" i="3" s="1"/>
  <c r="H111" i="3" s="1"/>
  <c r="H112" i="3" s="1"/>
  <c r="H113" i="3" s="1"/>
  <c r="H114" i="3" s="1"/>
  <c r="H115"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7" i="3" l="1"/>
  <c r="I118" i="3" s="1"/>
  <c r="I119" i="3" s="1"/>
  <c r="I120" i="3" s="1"/>
  <c r="I121" i="3" s="1"/>
  <c r="I122" i="3" s="1"/>
  <c r="I123" i="3" s="1"/>
  <c r="I124" i="3" s="1"/>
  <c r="I125" i="3" s="1"/>
  <c r="I126" i="3" s="1"/>
  <c r="I127" i="3" s="1"/>
  <c r="I128" i="3" s="1"/>
  <c r="I129" i="3" s="1"/>
  <c r="I130" i="3" s="1"/>
  <c r="G116" i="3"/>
  <c r="H117" i="3"/>
  <c r="H118" i="3" s="1"/>
  <c r="H119" i="3" s="1"/>
  <c r="H120" i="3" s="1"/>
  <c r="H121" i="3" s="1"/>
  <c r="H122" i="3" s="1"/>
  <c r="H123" i="3" s="1"/>
  <c r="H124" i="3" s="1"/>
  <c r="H125" i="3" s="1"/>
  <c r="H126" i="3" s="1"/>
  <c r="H127" i="3" s="1"/>
  <c r="H128" i="3" s="1"/>
  <c r="H129" i="3" s="1"/>
  <c r="H130" i="3" s="1"/>
  <c r="F1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R180" authorId="0" shapeId="0" xr:uid="{AF6D990C-3FDD-416D-A1A9-D837E7CC84B8}">
      <text>
        <r>
          <rPr>
            <sz val="11"/>
            <color theme="1"/>
            <rFont val="Calibri"/>
            <family val="2"/>
            <scheme val="minor"/>
          </rPr>
          <t xml:space="preserve">Unknown User:
</t>
        </r>
      </text>
    </comment>
  </commentList>
</comments>
</file>

<file path=xl/sharedStrings.xml><?xml version="1.0" encoding="utf-8"?>
<sst xmlns="http://schemas.openxmlformats.org/spreadsheetml/2006/main" count="4812" uniqueCount="1012">
  <si>
    <t>Si pas hawkish</t>
  </si>
  <si>
    <t>Actif</t>
  </si>
  <si>
    <t>Classe</t>
  </si>
  <si>
    <t>(exemple)</t>
  </si>
  <si>
    <t>Position</t>
  </si>
  <si>
    <t>Poids</t>
  </si>
  <si>
    <t>AVANT</t>
  </si>
  <si>
    <t>FED</t>
  </si>
  <si>
    <t>(%)4</t>
  </si>
  <si>
    <t>Product name</t>
  </si>
  <si>
    <t>SPY</t>
  </si>
  <si>
    <t>Actions</t>
  </si>
  <si>
    <t>SPY ou ETF</t>
  </si>
  <si>
    <t>ETF</t>
  </si>
  <si>
    <t>Long</t>
  </si>
  <si>
    <t>Risk-on</t>
  </si>
  <si>
    <t>SPDR S&amp;P 500 ETF Trust / SPY/ ESD</t>
  </si>
  <si>
    <t xml:space="preserve">Maybe buy 1 options SPY with expiration date at Month +1 </t>
  </si>
  <si>
    <t>GLD</t>
  </si>
  <si>
    <t>Or</t>
  </si>
  <si>
    <t>réels</t>
  </si>
  <si>
    <t>SPDR Gold Shares</t>
  </si>
  <si>
    <t>GLD (SPDR Gold Shares</t>
  </si>
  <si>
    <t>If fed dovish buy options on GLD</t>
  </si>
  <si>
    <t>CHF</t>
  </si>
  <si>
    <t>FX</t>
  </si>
  <si>
    <t>USD/CHF</t>
  </si>
  <si>
    <t>(short)</t>
  </si>
  <si>
    <t>Short fx</t>
  </si>
  <si>
    <t>devise</t>
  </si>
  <si>
    <t>USDCHF</t>
  </si>
  <si>
    <t>TLT</t>
  </si>
  <si>
    <t>Taux</t>
  </si>
  <si>
    <t>TLT (Us treasuries)</t>
  </si>
  <si>
    <t>ETF ou tx</t>
  </si>
  <si>
    <t>mistake</t>
  </si>
  <si>
    <t>iShares 20+ Year Treasury Bond ETF</t>
  </si>
  <si>
    <t>Scénario</t>
  </si>
  <si>
    <t>GOLD</t>
  </si>
  <si>
    <t>Silver</t>
  </si>
  <si>
    <t>LONG</t>
  </si>
  <si>
    <t>BlackRock Institutional Trust Company N.A. - iShares Silver Trust</t>
  </si>
  <si>
    <t>Hawkish</t>
  </si>
  <si>
    <t>SLV</t>
  </si>
  <si>
    <t>Dovish</t>
  </si>
  <si>
    <t>Options</t>
  </si>
  <si>
    <t>PUT</t>
  </si>
  <si>
    <t>Prendre avant</t>
  </si>
  <si>
    <t>Placement sur 2mois</t>
  </si>
  <si>
    <t>Short-term corp bond ETF</t>
  </si>
  <si>
    <t>iShares Short-Term Corporate Bond ETF</t>
  </si>
  <si>
    <t>IGSB</t>
  </si>
  <si>
    <t>1‑2 %</t>
  </si>
  <si>
    <t>Short USDJPY?? High lvl actually</t>
  </si>
  <si>
    <t>Build a python code for EQUITIES for jade and others with long short momentum value on 5 best and 5 worst equities of sp500. Each month we buy hold and sell at the end</t>
  </si>
  <si>
    <t xml:space="preserve">BTC ETH market neutral strategy </t>
  </si>
  <si>
    <t xml:space="preserve"> for 1 on short ETH i put 1,33 on LONG BTC</t>
  </si>
  <si>
    <t>Market neutral bcause 0,85-0,95 correlation</t>
  </si>
  <si>
    <t>3,75% LONG BTC</t>
  </si>
  <si>
    <t>1,25 Short ETH</t>
  </si>
  <si>
    <t>- Strike : OTM à ~5–7% sous le prix spot actuel voir -10% otm</t>
  </si>
  <si>
    <t>- Taille : couvrir ~10–20% de la valeur SPY (ex. protéger 10–20% du portefeuille) selon budget prime.</t>
  </si>
  <si>
    <t>- Après la FED : réévalue corrélations ; si dovish, augmente TLT/SPY ; si hawkish, réduis SPY et augmente cash/liquidité.</t>
  </si>
  <si>
    <t>Asset classes</t>
  </si>
  <si>
    <t>Risk</t>
  </si>
  <si>
    <t>Risk ($)</t>
  </si>
  <si>
    <t xml:space="preserve">Risk per trade </t>
  </si>
  <si>
    <t>Risk per trade ($)</t>
  </si>
  <si>
    <t>Duration / Maturity (we'll see)</t>
  </si>
  <si>
    <t>Equities</t>
  </si>
  <si>
    <t>Swap</t>
  </si>
  <si>
    <t>Bonds</t>
  </si>
  <si>
    <t>Forwards</t>
  </si>
  <si>
    <t>Futures</t>
  </si>
  <si>
    <t>Repo</t>
  </si>
  <si>
    <t>Options / Options Spread</t>
  </si>
  <si>
    <t>Commodities (Through Other asset)</t>
  </si>
  <si>
    <t>Crypto</t>
  </si>
  <si>
    <t>Mutuals Funds</t>
  </si>
  <si>
    <t xml:space="preserve">Target ROI </t>
  </si>
  <si>
    <t>Base currency</t>
  </si>
  <si>
    <t>EUR</t>
  </si>
  <si>
    <t>Initial cash balance</t>
  </si>
  <si>
    <t>interest earn on cash</t>
  </si>
  <si>
    <t xml:space="preserve">Interest charge on borrowed funds </t>
  </si>
  <si>
    <t>Minimum stock price for buying</t>
  </si>
  <si>
    <t>Minimum stock price for selling</t>
  </si>
  <si>
    <t>Margin trading allowed</t>
  </si>
  <si>
    <t>Yes</t>
  </si>
  <si>
    <t>Shot selling allowed</t>
  </si>
  <si>
    <t>Maximum leverage</t>
  </si>
  <si>
    <t>100% of initial portfolio value</t>
  </si>
  <si>
    <t>Position limit on a single security</t>
  </si>
  <si>
    <t>25% of portfolio value</t>
  </si>
  <si>
    <t xml:space="preserve">Orders filled up to </t>
  </si>
  <si>
    <t>200% of daily trading volume</t>
  </si>
  <si>
    <t>Commission</t>
  </si>
  <si>
    <t>Symbol</t>
  </si>
  <si>
    <t>Company / Fund</t>
  </si>
  <si>
    <t>00ACLMX</t>
  </si>
  <si>
    <t>American Century Capital Portfolios Inc - American</t>
  </si>
  <si>
    <t>A</t>
  </si>
  <si>
    <t>Vanguard Scottsdale Funds - Vanguard ST Corporate</t>
  </si>
  <si>
    <t>AAA</t>
  </si>
  <si>
    <t>DWS Alternative Asset Allocation Plus Fund CI A</t>
  </si>
  <si>
    <t>AAAAX</t>
  </si>
  <si>
    <t>DWS ALTN Asset Alloc Plus (A)</t>
  </si>
  <si>
    <t>AAACX</t>
  </si>
  <si>
    <t>A3 Alternative Credit Fund</t>
  </si>
  <si>
    <t>AAADX</t>
  </si>
  <si>
    <t>Alpine Accelerating Dividend Fund</t>
  </si>
  <si>
    <t>AAAEX</t>
  </si>
  <si>
    <t>AllianzGI Health Sciences Fund</t>
  </si>
  <si>
    <t>AAAFX</t>
  </si>
  <si>
    <t>American Century Asset Allocation Portfolios Inc</t>
  </si>
  <si>
    <t>AAAGX</t>
  </si>
  <si>
    <t>Thrivent Large Cap Growth Fund</t>
  </si>
  <si>
    <t>AAAHX</t>
  </si>
  <si>
    <t>BCFGX</t>
  </si>
  <si>
    <t>Bryce Capital Growth Fund</t>
  </si>
  <si>
    <t>ABNFX</t>
  </si>
  <si>
    <t>Bond Fund of America Inc</t>
  </si>
  <si>
    <t>ADS</t>
  </si>
  <si>
    <t>Biotechnology UltraSector Profund Investor</t>
  </si>
  <si>
    <t>AIDZX</t>
  </si>
  <si>
    <t>Bernstein Sanford C Fund</t>
  </si>
  <si>
    <t>ALL</t>
  </si>
  <si>
    <t>BlackRock All-Cap Energy &amp; Resources Portfolio</t>
  </si>
  <si>
    <t>APX</t>
  </si>
  <si>
    <t>BlackRock Apex Municipal Fund</t>
  </si>
  <si>
    <t>AVGYX</t>
  </si>
  <si>
    <t>BNY Mellon Advantage Funds</t>
  </si>
  <si>
    <t>B</t>
  </si>
  <si>
    <t>Pioneer Short Term Income Fund</t>
  </si>
  <si>
    <t>BJLK / BCREX</t>
  </si>
  <si>
    <t>BlackRock Real Estate Securities Fund</t>
  </si>
  <si>
    <t>BA</t>
  </si>
  <si>
    <t>Wells Fargo Absolute Return Fund</t>
  </si>
  <si>
    <t>AEPFX</t>
  </si>
  <si>
    <t>Europacific Growth Fund</t>
  </si>
  <si>
    <t>CAPEX</t>
  </si>
  <si>
    <t>Eaton Vance Tax-Managed Growth Fund</t>
  </si>
  <si>
    <t>CEUAX</t>
  </si>
  <si>
    <t>CEUBX</t>
  </si>
  <si>
    <t>CEUCX</t>
  </si>
  <si>
    <t>CEUEX</t>
  </si>
  <si>
    <t>CEUFX</t>
  </si>
  <si>
    <t>CEV</t>
  </si>
  <si>
    <t>Eaton Vance California Municipal Income Trust</t>
  </si>
  <si>
    <t>DFETX</t>
  </si>
  <si>
    <t>Emerging Markets Portfolio II</t>
  </si>
  <si>
    <t>DHICX</t>
  </si>
  <si>
    <t>Evergreen Strategic Municipal Bond Fund</t>
  </si>
  <si>
    <t>FBIOX</t>
  </si>
  <si>
    <t>Fidelity Select Biotechnology Portfolio</t>
  </si>
  <si>
    <t>FCNTX</t>
  </si>
  <si>
    <t>Fidelity Contrafund</t>
  </si>
  <si>
    <t>FDFAX</t>
  </si>
  <si>
    <t>Fidelity Select Consumer Portfolio</t>
  </si>
  <si>
    <t>FLCLX</t>
  </si>
  <si>
    <t>Fidelity Flex Large Cap Fund</t>
  </si>
  <si>
    <t>FSCSX</t>
  </si>
  <si>
    <t>Fidelity Select Software &amp; IT Services</t>
  </si>
  <si>
    <t>ABRJX</t>
  </si>
  <si>
    <t>ABR Enhanced Short Volatility Fund</t>
  </si>
  <si>
    <t>ABRSX</t>
  </si>
  <si>
    <t>GAGEX</t>
  </si>
  <si>
    <t>Guinness Atkinson Global Energy Fund</t>
  </si>
  <si>
    <t>500 INDEX</t>
  </si>
  <si>
    <t>Giant 5 Total Index System</t>
  </si>
  <si>
    <t>AGTHX</t>
  </si>
  <si>
    <t>Growth Fund of America</t>
  </si>
  <si>
    <t>ALIBX</t>
  </si>
  <si>
    <t>Grandeur Peak Global Trust</t>
  </si>
  <si>
    <t>BROAD INDEX</t>
  </si>
  <si>
    <t>BSCD</t>
  </si>
  <si>
    <t>Guggenheim BulletShares Corporate Bond ETF</t>
  </si>
  <si>
    <t>BSCE</t>
  </si>
  <si>
    <t>OAKMX</t>
  </si>
  <si>
    <t>Harris Associates Oakmark Fund</t>
  </si>
  <si>
    <t>ACRIX</t>
  </si>
  <si>
    <t>Horizon Active Risk Assist Fund</t>
  </si>
  <si>
    <t>AIRIX</t>
  </si>
  <si>
    <t>Horizon Active Income Fund</t>
  </si>
  <si>
    <t>DHEUX</t>
  </si>
  <si>
    <t>Hamilton Four European Equity Fund</t>
  </si>
  <si>
    <t>DIVNX</t>
  </si>
  <si>
    <t>Horizon Dividend Champions Fund</t>
  </si>
  <si>
    <t>ECSWX</t>
  </si>
  <si>
    <t>Harbor Commodity Strategy Fund</t>
  </si>
  <si>
    <t>FACAX</t>
  </si>
  <si>
    <t>Hartford Small Cap Growth Fund</t>
  </si>
  <si>
    <t>FTRXX</t>
  </si>
  <si>
    <t>HSBC US Government Money Market Fund</t>
  </si>
  <si>
    <t>GEPDX</t>
  </si>
  <si>
    <t>Highland Socially Responsible Fund</t>
  </si>
  <si>
    <t>ICRAX</t>
  </si>
  <si>
    <t>Icon Leisure &amp; Consumer Staples Fund</t>
  </si>
  <si>
    <t>AADCX</t>
  </si>
  <si>
    <t>Invesco Growth Allocation Fund</t>
  </si>
  <si>
    <t>AADYX</t>
  </si>
  <si>
    <t>AAEBX</t>
  </si>
  <si>
    <t>AAFAX</t>
  </si>
  <si>
    <t>Investment Managers Series Trust</t>
  </si>
  <si>
    <t>AAFBX</t>
  </si>
  <si>
    <t>ING Strategic Allocation Growth Fund</t>
  </si>
  <si>
    <t>AAFIX</t>
  </si>
  <si>
    <t>AAGIX</t>
  </si>
  <si>
    <t>ING Growth &amp; Income Fund</t>
  </si>
  <si>
    <t>ABDCX</t>
  </si>
  <si>
    <t>ING Bond Fund</t>
  </si>
  <si>
    <t>ABKYX</t>
  </si>
  <si>
    <t>Invesco Moderate Allocation Fund</t>
  </si>
  <si>
    <t>OSGIX</t>
  </si>
  <si>
    <t>JPMorgan Mid Cap Growth Fund</t>
  </si>
  <si>
    <t>AGOAX</t>
  </si>
  <si>
    <t>Jennison Equity Income Fund</t>
  </si>
  <si>
    <t>AJLXX</t>
  </si>
  <si>
    <t>JPMorgan Liquid Assets Money Market</t>
  </si>
  <si>
    <t>AJTXX</t>
  </si>
  <si>
    <t>JPMorgan US Treasury Plus Money Market</t>
  </si>
  <si>
    <t>BARON</t>
  </si>
  <si>
    <t>JPMorgan International Equity Fund</t>
  </si>
  <si>
    <t>BJBHX</t>
  </si>
  <si>
    <t>Julius Baer Global High Income Fund</t>
  </si>
  <si>
    <t>BLFE</t>
  </si>
  <si>
    <t>John Hancock Funds</t>
  </si>
  <si>
    <t>BTO</t>
  </si>
  <si>
    <t>John Hancock Bank and Thrift Opportunity Fund</t>
  </si>
  <si>
    <t>CBFSX</t>
  </si>
  <si>
    <t>JPMorgan Corporate Bond Fund</t>
  </si>
  <si>
    <t>CBFVX</t>
  </si>
  <si>
    <t>K</t>
  </si>
  <si>
    <t>Direxion Monthly Nasdaq-100 Bull 2X Fund</t>
  </si>
  <si>
    <t>KACIX</t>
  </si>
  <si>
    <t>Keeley All Cap Value Fund</t>
  </si>
  <si>
    <t>KACVX</t>
  </si>
  <si>
    <t>KAGAX</t>
  </si>
  <si>
    <t>Kensington Dynamic Growth Portfolio</t>
  </si>
  <si>
    <t>KAGIX</t>
  </si>
  <si>
    <t>KALIX</t>
  </si>
  <si>
    <t>Keeley Alternative Value Fund</t>
  </si>
  <si>
    <t>KAMAX</t>
  </si>
  <si>
    <t>Kensington Managed Income Portfolio</t>
  </si>
  <si>
    <t>KAMIX</t>
  </si>
  <si>
    <t>KATRX</t>
  </si>
  <si>
    <t>Phoenix Kayne Intermediate Total Return</t>
  </si>
  <si>
    <t>KAUAX</t>
  </si>
  <si>
    <t>Federated Kaufmann Fund</t>
  </si>
  <si>
    <t>COST</t>
  </si>
  <si>
    <t>Columbia Overseas Value Fund</t>
  </si>
  <si>
    <t>AABAX</t>
  </si>
  <si>
    <t>Cavanal Hill Funds</t>
  </si>
  <si>
    <t>AABOX</t>
  </si>
  <si>
    <t>AACEX</t>
  </si>
  <si>
    <t>Cavanal Hill U.S. Large Cap Equity Fund</t>
  </si>
  <si>
    <t>AACOX</t>
  </si>
  <si>
    <t>Cavanal Hill Opportunistic Fund</t>
  </si>
  <si>
    <t>AAEQX</t>
  </si>
  <si>
    <t>AAOPX</t>
  </si>
  <si>
    <t>AAPU</t>
  </si>
  <si>
    <t>Cavanal Hill Moderate Duration Fund</t>
  </si>
  <si>
    <t>AASTX</t>
  </si>
  <si>
    <t>AATFX</t>
  </si>
  <si>
    <t>AAAPX</t>
  </si>
  <si>
    <t>DWS Alternative Asset Allocation Plus</t>
  </si>
  <si>
    <t>AAAQX</t>
  </si>
  <si>
    <t>DWS Investments Trust</t>
  </si>
  <si>
    <t>AAASX</t>
  </si>
  <si>
    <t>AAAVX</t>
  </si>
  <si>
    <t>Deutsche Market Shares Alternative Asset Allocation</t>
  </si>
  <si>
    <t>AAAWX</t>
  </si>
  <si>
    <t>Deutsche Market Shares Real Assets Fund</t>
  </si>
  <si>
    <t>AAAZX</t>
  </si>
  <si>
    <t>DWS Alternative Asset Allocation Plus Institutional</t>
  </si>
  <si>
    <t>ADDYY</t>
  </si>
  <si>
    <t>Direxion Monthly Nasdaq-100 Bull Fund</t>
  </si>
  <si>
    <t>ADR</t>
  </si>
  <si>
    <t>Dreyfus Satellite Alpha Fund</t>
  </si>
  <si>
    <t>Trade ID</t>
  </si>
  <si>
    <t>Trader</t>
  </si>
  <si>
    <t>Trade date</t>
  </si>
  <si>
    <t>Type</t>
  </si>
  <si>
    <t>Trading Session</t>
  </si>
  <si>
    <t>Instrument</t>
  </si>
  <si>
    <t>Underlying asset</t>
  </si>
  <si>
    <t>Asset Class</t>
  </si>
  <si>
    <t>Option direction</t>
  </si>
  <si>
    <t>Direction</t>
  </si>
  <si>
    <t>Price paid</t>
  </si>
  <si>
    <t>Qty</t>
  </si>
  <si>
    <t>Amount($)</t>
  </si>
  <si>
    <t>Stop Loss Set</t>
  </si>
  <si>
    <t>Take Profit Set</t>
  </si>
  <si>
    <t>Commission + Fees</t>
  </si>
  <si>
    <t xml:space="preserve">Curr./Exch </t>
  </si>
  <si>
    <t>Amount(€)</t>
  </si>
  <si>
    <t>Risk (€)</t>
  </si>
  <si>
    <t>% Portfolio Risked</t>
  </si>
  <si>
    <t>Position Limit %</t>
  </si>
  <si>
    <t>Setup Type</t>
  </si>
  <si>
    <t>Market Context</t>
  </si>
  <si>
    <t>Catalyst / Trigger</t>
  </si>
  <si>
    <t>Hypothesis</t>
  </si>
  <si>
    <t>Expected Duration</t>
  </si>
  <si>
    <t>Emotional State at Entry</t>
  </si>
  <si>
    <t>Emotional State at Exit</t>
  </si>
  <si>
    <t>What Worked</t>
  </si>
  <si>
    <t>What Didn’t</t>
  </si>
  <si>
    <t>What to Improve Next Time</t>
  </si>
  <si>
    <t>Major Economic News / Releases</t>
  </si>
  <si>
    <t>Inter-Market Observations</t>
  </si>
  <si>
    <t>Unexpected Events Affecting Trade</t>
  </si>
  <si>
    <t>Strategy</t>
  </si>
  <si>
    <t>Time Frame</t>
  </si>
  <si>
    <t>Yannis Khalfi</t>
  </si>
  <si>
    <t>Market</t>
  </si>
  <si>
    <t>Forex</t>
  </si>
  <si>
    <t>EUR/USD</t>
  </si>
  <si>
    <t>Buy</t>
  </si>
  <si>
    <t>Sell</t>
  </si>
  <si>
    <t>Asia</t>
  </si>
  <si>
    <t>Cryptos</t>
  </si>
  <si>
    <t>BTC</t>
  </si>
  <si>
    <t>97000(minimum)</t>
  </si>
  <si>
    <t>10-12%</t>
  </si>
  <si>
    <t xml:space="preserve">Safe Haven </t>
  </si>
  <si>
    <t>Tense geopolitical context involving Trump and Greenland. Three days ahead of the Fed rate decision. BTC at a key technical level. I expect investor inflows if conditions deteriorate further.</t>
  </si>
  <si>
    <t>Risky Safe haven inflows</t>
  </si>
  <si>
    <t>BTC come back some strength</t>
  </si>
  <si>
    <t>Short term swing</t>
  </si>
  <si>
    <t>Confident</t>
  </si>
  <si>
    <t>Calm</t>
  </si>
  <si>
    <t>FED Rates in 3 days. Wednesday 28/01/2026</t>
  </si>
  <si>
    <t>Macro on Crypto</t>
  </si>
  <si>
    <t>D</t>
  </si>
  <si>
    <t>NY</t>
  </si>
  <si>
    <t xml:space="preserve">Passive income </t>
  </si>
  <si>
    <t>High volatility, fed rates announcement soon. Stocks can go high if rates are getting lowered</t>
  </si>
  <si>
    <t>Good ROI on this benchmark</t>
  </si>
  <si>
    <t>USD weakness - More exportation More money for US STOCKS</t>
  </si>
  <si>
    <t xml:space="preserve">Confident </t>
  </si>
  <si>
    <t>Macro on Stocks</t>
  </si>
  <si>
    <t>Jade Sancho</t>
  </si>
  <si>
    <t>Limit</t>
  </si>
  <si>
    <t>Option</t>
  </si>
  <si>
    <t>NVDA</t>
  </si>
  <si>
    <t>Call</t>
  </si>
  <si>
    <t>10% profit</t>
  </si>
  <si>
    <t>moderated risk</t>
  </si>
  <si>
    <t>Given heightened macroeconomic uncertainty around Federal Reserve 
communication, we implemented a short-term ATM straddle on NVIDIA, 
a high-beta technology stock, to capture potential volatility expansion.</t>
  </si>
  <si>
    <t>If big shift in NASDAQ after fed news, NVDA will shift accordingly</t>
  </si>
  <si>
    <t>Depends on Fed news</t>
  </si>
  <si>
    <t>Could have waited longer, but no loss occured</t>
  </si>
  <si>
    <t>The sharp decline in Nvidia followed earnings despite 
strong fundamentals, mainly due to extreme pre-earnings expectations, profit-taking, and options-driven hedging flows amplifying the downside move</t>
  </si>
  <si>
    <t>Macro on options</t>
  </si>
  <si>
    <t>W</t>
  </si>
  <si>
    <t>Put</t>
  </si>
  <si>
    <t>Straddle has worked, Nvidia share price moved down a lot and we have a profit on the put vs the call. is is time to close the position</t>
  </si>
  <si>
    <t>Wang Jialei</t>
  </si>
  <si>
    <t>GBP/USD</t>
  </si>
  <si>
    <t>Commodity</t>
  </si>
  <si>
    <t xml:space="preserve">Looking for a 10% profit </t>
  </si>
  <si>
    <t>Safe haven</t>
  </si>
  <si>
    <t>Rising gold prices due to geopolitical tensions and Trump announcement. Silver is supposed to follow</t>
  </si>
  <si>
    <t>Safe haven inflows</t>
  </si>
  <si>
    <t>Gold rally continues on macro risk - Silver will follow</t>
  </si>
  <si>
    <t>Confident but a bit stressed because it's overexpended right now</t>
  </si>
  <si>
    <t>Mitigated</t>
  </si>
  <si>
    <t xml:space="preserve">FED didn't moved rate yesterday, but TRUMP confirmed that the dollar is in perfect condition and it's lvl of price is perfect. He can do "YOYO" as he said. He wants dollar to be more weak </t>
  </si>
  <si>
    <t xml:space="preserve">USD weakness supported gold </t>
  </si>
  <si>
    <t>Global macro</t>
  </si>
  <si>
    <t>Rising gold prices due to geopolitical tensions and Trump announcement</t>
  </si>
  <si>
    <t xml:space="preserve">Gold rally continues on macro risk </t>
  </si>
  <si>
    <t>USD weakness supported gold</t>
  </si>
  <si>
    <t>Wanchun Cui</t>
  </si>
  <si>
    <t>Fixed Income</t>
  </si>
  <si>
    <t>T-BOND 3.125% 15/05/2048</t>
  </si>
  <si>
    <t>Bond</t>
  </si>
  <si>
    <t>Macro / Duration Trade</t>
  </si>
  <si>
    <t>Late-cycle, slowing growth, long-end yields elevated</t>
  </si>
  <si>
    <t>Expected Fed pivot / recession risk / risk-off flows</t>
  </si>
  <si>
    <t>Long-end US yields will decline, driving price appreciation via duration and convexity</t>
  </si>
  <si>
    <t>middle term</t>
  </si>
  <si>
    <t>Calm / Conviction-based</t>
  </si>
  <si>
    <t>N/A</t>
  </si>
  <si>
    <t>5m</t>
  </si>
  <si>
    <t>Microsoft</t>
  </si>
  <si>
    <t>Looking for 20% profit</t>
  </si>
  <si>
    <t>safe Haven</t>
  </si>
  <si>
    <t>Microsoft just went down 20% due to technological gap, time to invest before it goes up</t>
  </si>
  <si>
    <t>Invest in a call as we hope for a increase in Microsoft stock price as there was a sharp decline previously</t>
  </si>
  <si>
    <t xml:space="preserve">confident </t>
  </si>
  <si>
    <t>2D</t>
  </si>
  <si>
    <t>BUND 1.250% 15-Nov-2048</t>
  </si>
  <si>
    <t>London</t>
  </si>
  <si>
    <t>BTP 3.100% 03-Jan-2040</t>
  </si>
  <si>
    <t>Long BTP 2040 to express ECB easing and Italy spread compression. High duration and clean rates/spread beta with manageable volatility over 2-month horizon.</t>
  </si>
  <si>
    <t>Microsoft Corp - 5.2% - Jun 2039</t>
  </si>
  <si>
    <t>Long MSFT 2039 for rate-cut convexity and carry. Premium justified by high coupon vs market yield; benefit from long-end yield compression.</t>
  </si>
  <si>
    <t>Apple Inc - 1.700% - Aug 2031</t>
  </si>
  <si>
    <t>Buy Apple 2031 as a low-coupon IG bond with high duration. Positioned to benefit from potential rate cuts; strong balance sheet limits credit risk.</t>
  </si>
  <si>
    <t>Ford Motor Co. - 7.500% - Aug 2026</t>
  </si>
  <si>
    <t>Long Ford 7.5% Aug-2026 for short-dated high-carry credit exposure. Trade focuses on yield capture and pull-to-par with limited duration risk, supported by near-term maturity and manageable refinancing profile.</t>
  </si>
  <si>
    <t>Kraft Heinz Foods - 6.500% - Feb 2040</t>
  </si>
  <si>
    <t>Long Kraft Heinz 6.5% Feb-2040 to capture high coupon carry and defensive consumer-staples credit exposure. Position targets income-driven returns with moderate duration sensitivity, supported by resilient cash flows and non-cyclical demand.</t>
  </si>
  <si>
    <t>Altria Group Inc - 9.95% - Nov 2038</t>
  </si>
  <si>
    <t>High-carry defensive credit. Locking ~10% coupon from stable cash-flow issuer to anchor portfolio yield and offset rate/tech volatility.</t>
  </si>
  <si>
    <t>Philip Morris - 6.375% - May 2038</t>
  </si>
  <si>
    <t>High-carry defensive credit. Stable global tobacco cash flows support attractive income and portfolio yield stabilization.</t>
  </si>
  <si>
    <t>Boeing</t>
  </si>
  <si>
    <t>Cyclical recovery credit with elevated carry. Position targets spread compression as Boeing normalizes operations and cash flow over the cycle.</t>
  </si>
  <si>
    <t>United States Steel Corp - 6.875% - Mar 2029</t>
  </si>
  <si>
    <t>Short-dated cyclical credit capturing high carry with limited duration risk. Trade targets stable income and near-term spread normalization into 2029 maturity.</t>
  </si>
  <si>
    <t>JPMORGAN CHASE &amp; CO - 6.4% - May 2038</t>
  </si>
  <si>
    <t>Long JPM 6.4% May-2038 as a credit relative value anchor. High coupon provides strong carry while long maturity offers duration exposure. Position expresses bank credit stability with limited idiosyncratic risk and benefits from spread compression or long-end yield declines.</t>
  </si>
  <si>
    <t>JPMORGAN CHASE &amp; CO - 5.5% - Oct 2040</t>
  </si>
  <si>
    <t>Long JPM 5.5% Oct-2040 to extend bank credit duration with stable carry. Position targets long-end rate sensitivity and potential credit spread tightening while maintaining exposure to a high-quality global systemically important bank.</t>
  </si>
  <si>
    <t>The price of Microsoft went up again like predicted, it is time to close the call as we have made the expected profit to not take any further risk.</t>
  </si>
  <si>
    <t>OAT 3.250% 25-May-2045</t>
  </si>
  <si>
    <t>Adding ultra-long French OAT for Eurozone duration and convexity. Positioned for ECB easing and growth slowdown. Offers yield pickup versus Bunds while maintaining core sovereign risk profile. Complements German and US long-duration exposure.</t>
  </si>
  <si>
    <t>ASML Holding - 2.250% - May 2032</t>
  </si>
  <si>
    <t>Long ASML 2.25% May-2032 to gain high-quality tech IG exposure with moderate duration. Trade focuses on spread stability and rate sensitivity, supported by ASML’s monopoly-like industry position and strong balance sheet.</t>
  </si>
  <si>
    <t>Sanofi S.A - 1.875% - Mar 2038</t>
  </si>
  <si>
    <t>Non-financial IG anchor in Credit RV bucket. Defensive pharma cash flows with low beta. Used as spread benchmark versus bank credit to isolate financial sector-specific spread moves.</t>
  </si>
  <si>
    <t>TotalEnergies Capital Intl. - 1.535% - May 2039</t>
  </si>
  <si>
    <t>Non-financial IG energy credit added as macro-sensitive leg in Credit RV bucket. Provides diversification from tech and financials while linking portfolio to inflation and commodity dynamics.</t>
  </si>
  <si>
    <t>CouponPayment</t>
  </si>
  <si>
    <t>BUND 4.750% 04-Jul-2040</t>
  </si>
  <si>
    <t xml:space="preserve">Meta       </t>
  </si>
  <si>
    <t>I used a call option on Meta to express a short-term bullish view following a market correction, benefiting from a potential rebound while keeping downside risk limited to the option premium</t>
  </si>
  <si>
    <t>Expect Microsoft to go up again as it is only rising since 5 february after crash</t>
  </si>
  <si>
    <t>Netflix Inc.</t>
  </si>
  <si>
    <t>Equity</t>
  </si>
  <si>
    <t>Netflix is showing a downward tendency, wait for its future comback</t>
  </si>
  <si>
    <t>Its acqurition of Warner Bros</t>
  </si>
  <si>
    <t>Its plan of acquiring WB show big potential of profitability</t>
  </si>
  <si>
    <t>Long-only</t>
  </si>
  <si>
    <t>To go against the call on meta placed</t>
  </si>
  <si>
    <t>To go against the call placed on microsoft that went down because of growing AI costs of company</t>
  </si>
  <si>
    <t xml:space="preserve">Option expired </t>
  </si>
  <si>
    <t>Close position as as it's falling down</t>
  </si>
  <si>
    <t>Sold netflix at +10% of the position</t>
  </si>
  <si>
    <t>SPDR GOLD TRUST ETF</t>
  </si>
  <si>
    <t xml:space="preserve">Reason is the potential rise of gold as a safe haven. Context of war in IRAN. </t>
  </si>
  <si>
    <t>BULL CALL SPREAD ON GOLD LEG 1</t>
  </si>
  <si>
    <t>Short</t>
  </si>
  <si>
    <t xml:space="preserve">BULL CALL SPREAD ON GOLD LEG 2 </t>
  </si>
  <si>
    <t>Exelon Corp</t>
  </si>
  <si>
    <t>LONG SHORT STRATEGY</t>
  </si>
  <si>
    <t>SIRI</t>
  </si>
  <si>
    <t>Kraft Heinz Co</t>
  </si>
  <si>
    <t>Xcel Energy, In...</t>
  </si>
  <si>
    <t>American Electr...</t>
  </si>
  <si>
    <t>Trip.com Group ...</t>
  </si>
  <si>
    <t>Biogen Inc</t>
  </si>
  <si>
    <t xml:space="preserve">
JD.com Inc -</t>
  </si>
  <si>
    <t>Cognizant Techn..</t>
  </si>
  <si>
    <t>Moderna Inc</t>
  </si>
  <si>
    <t>Skyworks Soluti...</t>
  </si>
  <si>
    <t>Baidu Inc - ADR</t>
  </si>
  <si>
    <t>Comcast Corp - ...</t>
  </si>
  <si>
    <t>Keurig Dr Peppe...</t>
  </si>
  <si>
    <t>Paccar Inc.</t>
  </si>
  <si>
    <t>Fox Corporation...</t>
  </si>
  <si>
    <t>Copart, Inc.</t>
  </si>
  <si>
    <t>Regeneron Pharm...</t>
  </si>
  <si>
    <t>Dollar Tree Inc</t>
  </si>
  <si>
    <t>Okta Inc - Ordi...</t>
  </si>
  <si>
    <t>Microchip Techn...</t>
  </si>
  <si>
    <t>Intel Corp.</t>
  </si>
  <si>
    <t>Lululemon Athle..</t>
  </si>
  <si>
    <t>Mondelez Intern...</t>
  </si>
  <si>
    <t>Alphabet Inc - </t>
  </si>
  <si>
    <t>Align Technolog...</t>
  </si>
  <si>
    <t>Illumina Inc</t>
  </si>
  <si>
    <t>PDD Holdings In...</t>
  </si>
  <si>
    <t>Micron Technolo...</t>
  </si>
  <si>
    <t>CSX Corp.</t>
  </si>
  <si>
    <t>PayPal Holdings.</t>
  </si>
  <si>
    <t>Electronic Arts...</t>
  </si>
  <si>
    <t>Analog Devices ...</t>
  </si>
  <si>
    <t>Applied Materia...</t>
  </si>
  <si>
    <t>Charter Communi...</t>
  </si>
  <si>
    <t>Qualcomm, Inc.</t>
  </si>
  <si>
    <t>Incyte Corp.</t>
  </si>
  <si>
    <t>Fiserv, Inc.</t>
  </si>
  <si>
    <t>Cisco Systems</t>
  </si>
  <si>
    <t>Advanced Micro devices</t>
  </si>
  <si>
    <t>NXP Semiconduc</t>
  </si>
  <si>
    <t>NetEase Inc -</t>
  </si>
  <si>
    <t>DocuSign Inc</t>
  </si>
  <si>
    <t>Synopsys, Inc.</t>
  </si>
  <si>
    <t>Marvell Technol.</t>
  </si>
  <si>
    <t>EBay Inc.</t>
  </si>
  <si>
    <t>Lam Research Co.</t>
  </si>
  <si>
    <t xml:space="preserve">	T-Mobile US Inc</t>
  </si>
  <si>
    <t xml:space="preserve">	Workday Inc -</t>
  </si>
  <si>
    <t>Vertex Pharmace.</t>
  </si>
  <si>
    <t>CDW Corp</t>
  </si>
  <si>
    <t>Check Point Sof...</t>
  </si>
  <si>
    <t>Dexcom Inc</t>
  </si>
  <si>
    <t>Dividends</t>
  </si>
  <si>
    <t>PayPal Holdings...</t>
  </si>
  <si>
    <t>Fox Corporation..</t>
  </si>
  <si>
    <t>Lam Research Co...</t>
  </si>
  <si>
    <t xml:space="preserve">CUT THAT AT +18% </t>
  </si>
  <si>
    <t>Max month history was +20%</t>
  </si>
  <si>
    <t>CUT THAT ONE AT +12%</t>
  </si>
  <si>
    <t xml:space="preserve">Max month in history was + 33% and was at IPO </t>
  </si>
  <si>
    <t>SOL</t>
  </si>
  <si>
    <t>RNDR</t>
  </si>
  <si>
    <t>FET</t>
  </si>
  <si>
    <t>UNI</t>
  </si>
  <si>
    <t>LINK</t>
  </si>
  <si>
    <t>OP</t>
  </si>
  <si>
    <t>RTX Corp</t>
  </si>
  <si>
    <t xml:space="preserve">
Visa Inc</t>
  </si>
  <si>
    <t>Berkshire Hatha</t>
  </si>
  <si>
    <t xml:space="preserve">
Occidental Petr</t>
  </si>
  <si>
    <t>Future contracts</t>
  </si>
  <si>
    <t>CRUDE OIL MAY 16</t>
  </si>
  <si>
    <t xml:space="preserve">4,858.53000	</t>
  </si>
  <si>
    <t>SILVER</t>
  </si>
  <si>
    <t xml:space="preserve">76.70020	</t>
  </si>
  <si>
    <t>USD/JPY</t>
  </si>
  <si>
    <t>Workday Inc</t>
  </si>
  <si>
    <t>Invesco Capital</t>
  </si>
  <si>
    <t>BRENT CRU OIL LASDA MAY 16</t>
  </si>
  <si>
    <t>MISS ONE TRADE. I NEED TO DOUBLE CHECK</t>
  </si>
  <si>
    <t>Full trade cycle</t>
  </si>
  <si>
    <t>Date</t>
  </si>
  <si>
    <t>Asset class</t>
  </si>
  <si>
    <t>Net P&amp;L</t>
  </si>
  <si>
    <t>Net P&amp;L $</t>
  </si>
  <si>
    <t>Portfolio wallet currently</t>
  </si>
  <si>
    <t>Portfolio $</t>
  </si>
  <si>
    <t>Include Longest trade, shortest trade in python</t>
  </si>
  <si>
    <t xml:space="preserve">Include trades on NY / ASIA / LONDON on python </t>
  </si>
  <si>
    <t>Include fees in python yannis</t>
  </si>
  <si>
    <t>CETTE COLONNE PEUT FAIRE CRASH SI JE LA SUPPRIME DONC RECTIFIER CODE SUR EXPECTIF AXIS HAS 10 ELEMENTS, NEW VALUES HAVE 11 ELEMENTS</t>
  </si>
  <si>
    <t>Meta</t>
  </si>
  <si>
    <t>Netflix</t>
  </si>
  <si>
    <t>jd</t>
  </si>
  <si>
    <t>RTX</t>
  </si>
  <si>
    <t>Occidental</t>
  </si>
  <si>
    <t>KRAFT</t>
  </si>
  <si>
    <t>BUUND 1.250%</t>
  </si>
  <si>
    <t>United states</t>
  </si>
  <si>
    <t>BTP 3.10</t>
  </si>
  <si>
    <t>Issuer</t>
  </si>
  <si>
    <t>Country</t>
  </si>
  <si>
    <t>Bond Type</t>
  </si>
  <si>
    <t>Industry</t>
  </si>
  <si>
    <t>Coupon (%)</t>
  </si>
  <si>
    <t>Maturity</t>
  </si>
  <si>
    <t>Tenor</t>
  </si>
  <si>
    <t>Yield Style</t>
  </si>
  <si>
    <t>Notes</t>
  </si>
  <si>
    <t>(Tous)</t>
  </si>
  <si>
    <t>21st Century Fox Amer Inc</t>
  </si>
  <si>
    <t>US</t>
  </si>
  <si>
    <t>Corporate</t>
  </si>
  <si>
    <t>Media</t>
  </si>
  <si>
    <t>High</t>
  </si>
  <si>
    <t>Media company</t>
  </si>
  <si>
    <t>YOU ARE AMAZING, Good luck ! by Yannis</t>
  </si>
  <si>
    <t>7-Eleven Inc</t>
  </si>
  <si>
    <t>Retail</t>
  </si>
  <si>
    <t>Low</t>
  </si>
  <si>
    <t>Convenience retail</t>
  </si>
  <si>
    <t>France</t>
  </si>
  <si>
    <t>Apple Inc</t>
  </si>
  <si>
    <t>Technology</t>
  </si>
  <si>
    <t>Medium</t>
  </si>
  <si>
    <t>Large tech</t>
  </si>
  <si>
    <t>Germany</t>
  </si>
  <si>
    <t>Italy</t>
  </si>
  <si>
    <t>Netherlands</t>
  </si>
  <si>
    <t>Abbott Labs</t>
  </si>
  <si>
    <t>Healthcare</t>
  </si>
  <si>
    <t>UK</t>
  </si>
  <si>
    <t>AbbVie Inc</t>
  </si>
  <si>
    <t>Pharma</t>
  </si>
  <si>
    <t>Total général</t>
  </si>
  <si>
    <t>Adobe Inc</t>
  </si>
  <si>
    <t>Software</t>
  </si>
  <si>
    <t>Advanced Micro Devices Inc</t>
  </si>
  <si>
    <t>Semiconductors</t>
  </si>
  <si>
    <t>Very Long</t>
  </si>
  <si>
    <t>Alphabet Inc</t>
  </si>
  <si>
    <t>Internet services</t>
  </si>
  <si>
    <t>Allstate Corp</t>
  </si>
  <si>
    <t>Insurance</t>
  </si>
  <si>
    <t>Altria Group Inc</t>
  </si>
  <si>
    <t>Consumer Staples</t>
  </si>
  <si>
    <t>Tobacco</t>
  </si>
  <si>
    <t>Alcan Inc</t>
  </si>
  <si>
    <t>Materials</t>
  </si>
  <si>
    <t>Aluminum</t>
  </si>
  <si>
    <t>Avangrid Inc</t>
  </si>
  <si>
    <t>Utilities</t>
  </si>
  <si>
    <t>Aflac Inc</t>
  </si>
  <si>
    <t>Agrium Inc</t>
  </si>
  <si>
    <t>Fertilizers</t>
  </si>
  <si>
    <t>American Express Co</t>
  </si>
  <si>
    <t>Financials</t>
  </si>
  <si>
    <t>Financial services</t>
  </si>
  <si>
    <t>Berkshire Hathaway Energy Co</t>
  </si>
  <si>
    <t>Energy</t>
  </si>
  <si>
    <t>BHP Billiton Ltd</t>
  </si>
  <si>
    <t>Mining</t>
  </si>
  <si>
    <t>BlackRock TCP Capital Corp</t>
  </si>
  <si>
    <t>Asset management</t>
  </si>
  <si>
    <t>Block Inc</t>
  </si>
  <si>
    <t>Fintech</t>
  </si>
  <si>
    <t>Boeing Co</t>
  </si>
  <si>
    <t>Industrials</t>
  </si>
  <si>
    <t>Aerospace</t>
  </si>
  <si>
    <t>Boston Scientific Corp</t>
  </si>
  <si>
    <t>Medical devices</t>
  </si>
  <si>
    <t>Comcast Corp</t>
  </si>
  <si>
    <t>Communications</t>
  </si>
  <si>
    <t>Telecom</t>
  </si>
  <si>
    <t>Citigroup Inc</t>
  </si>
  <si>
    <t>Banking</t>
  </si>
  <si>
    <t>Churchill Downs Inc</t>
  </si>
  <si>
    <t>Consumer Discretionary</t>
  </si>
  <si>
    <t>Entertainment</t>
  </si>
  <si>
    <t>Cisco Systems Inc</t>
  </si>
  <si>
    <t>Networking</t>
  </si>
  <si>
    <t>Electronic Arts Inc</t>
  </si>
  <si>
    <t>Gaming</t>
  </si>
  <si>
    <t>Ford Motor Co</t>
  </si>
  <si>
    <t>Automotive</t>
  </si>
  <si>
    <t>Goldman Sachs Group Inc</t>
  </si>
  <si>
    <t>Investment bank</t>
  </si>
  <si>
    <t>HSBC Holdings PLC</t>
  </si>
  <si>
    <t>Hawaiian Airlines</t>
  </si>
  <si>
    <t>Airline</t>
  </si>
  <si>
    <t>Intel Corp</t>
  </si>
  <si>
    <t>JP Morgan Chase Co</t>
  </si>
  <si>
    <t>Johnson &amp; Johnson</t>
  </si>
  <si>
    <t>Kraft Heinz Foods</t>
  </si>
  <si>
    <t>Food</t>
  </si>
  <si>
    <t>Mastercard Inc</t>
  </si>
  <si>
    <t>Payments</t>
  </si>
  <si>
    <t>MetLife Inc</t>
  </si>
  <si>
    <t>Microsoft Corp</t>
  </si>
  <si>
    <t>Nike Inc</t>
  </si>
  <si>
    <t>Apparel</t>
  </si>
  <si>
    <t>Nvidia Corp</t>
  </si>
  <si>
    <t>Novant Health Inc</t>
  </si>
  <si>
    <t>PayPal Holdings Inc</t>
  </si>
  <si>
    <t>PepsiCo Inc</t>
  </si>
  <si>
    <t>Beverages</t>
  </si>
  <si>
    <t>Pfizer Inc</t>
  </si>
  <si>
    <t>Pacific Gas &amp; Elec Co</t>
  </si>
  <si>
    <t>Philip Morris</t>
  </si>
  <si>
    <t>Procter &amp; Gamble Co</t>
  </si>
  <si>
    <t>Consumer goods</t>
  </si>
  <si>
    <t>Ralph Lauren Corp</t>
  </si>
  <si>
    <t>Starbucks Corp</t>
  </si>
  <si>
    <t>Coffee</t>
  </si>
  <si>
    <t>Target Corp</t>
  </si>
  <si>
    <t>Walt Disney Co</t>
  </si>
  <si>
    <t>United Parcel Service Inc</t>
  </si>
  <si>
    <t>Logistics</t>
  </si>
  <si>
    <t>United States Steel Corp</t>
  </si>
  <si>
    <t>Steel</t>
  </si>
  <si>
    <t>Verizon Communications Inc</t>
  </si>
  <si>
    <t>Waste Management Inc</t>
  </si>
  <si>
    <t>Waste services</t>
  </si>
  <si>
    <t>Western Union Co</t>
  </si>
  <si>
    <t>Wal-Mart Stores Inc</t>
  </si>
  <si>
    <t>Wells Fargo</t>
  </si>
  <si>
    <t>US Treasury</t>
  </si>
  <si>
    <t>Government</t>
  </si>
  <si>
    <t>Very short maturity</t>
  </si>
  <si>
    <t>Short maturity</t>
  </si>
  <si>
    <t>Medium maturity</t>
  </si>
  <si>
    <t>Long duration</t>
  </si>
  <si>
    <t>3i Group</t>
  </si>
  <si>
    <t>Private equity group</t>
  </si>
  <si>
    <t>Aviva PLC</t>
  </si>
  <si>
    <t>BP PLC</t>
  </si>
  <si>
    <t>Oil &amp; gas</t>
  </si>
  <si>
    <t>British Telecom PLC</t>
  </si>
  <si>
    <t>Burberry Group</t>
  </si>
  <si>
    <t>Luxury retail</t>
  </si>
  <si>
    <t>Lloyds Banking Group</t>
  </si>
  <si>
    <t>Shell PLC</t>
  </si>
  <si>
    <t>Tesco PLC</t>
  </si>
  <si>
    <t>Grocery retail</t>
  </si>
  <si>
    <t>UK Treasury</t>
  </si>
  <si>
    <t>UK Gilt</t>
  </si>
  <si>
    <t>BASF SE</t>
  </si>
  <si>
    <t>Chemicals</t>
  </si>
  <si>
    <t>Deutsche Bank AG</t>
  </si>
  <si>
    <t>Deutsche Telekom AG</t>
  </si>
  <si>
    <t>Infineon Technologies AG</t>
  </si>
  <si>
    <t>Mercedes-Benz Group AG</t>
  </si>
  <si>
    <t>Merck KGaA</t>
  </si>
  <si>
    <t>MTU Aero Engines AG</t>
  </si>
  <si>
    <t>Rheinmetall AG</t>
  </si>
  <si>
    <t>Defense</t>
  </si>
  <si>
    <t>SAP SE</t>
  </si>
  <si>
    <t>Siemens AG</t>
  </si>
  <si>
    <t>Industrial conglomerate</t>
  </si>
  <si>
    <t>German Treasury (Bund)</t>
  </si>
  <si>
    <t>German Bund</t>
  </si>
  <si>
    <t>AXA S.A.</t>
  </si>
  <si>
    <t>Crédit Agricole S.A.</t>
  </si>
  <si>
    <t>Danone</t>
  </si>
  <si>
    <t>Food &amp; beverages</t>
  </si>
  <si>
    <t>L’Air Liquide Finance</t>
  </si>
  <si>
    <t>Industrial gases</t>
  </si>
  <si>
    <t>L’Oréal S.A.</t>
  </si>
  <si>
    <t>Cosmetics</t>
  </si>
  <si>
    <t>LVMH Moët Hennessy</t>
  </si>
  <si>
    <t>Luxury</t>
  </si>
  <si>
    <t>Sanofi S.A.</t>
  </si>
  <si>
    <t>Schneider Electric</t>
  </si>
  <si>
    <t>Energy management</t>
  </si>
  <si>
    <t>Thales S.A.</t>
  </si>
  <si>
    <t>TotalEnergies Capital Intl.</t>
  </si>
  <si>
    <t>Vinci S.A.</t>
  </si>
  <si>
    <t>Infrastructure</t>
  </si>
  <si>
    <t>French Treasury (OAT)</t>
  </si>
  <si>
    <t>OAT</t>
  </si>
  <si>
    <t>ASML Holding</t>
  </si>
  <si>
    <t>EXOR N.V.</t>
  </si>
  <si>
    <t>Holding company</t>
  </si>
  <si>
    <t>Heineken</t>
  </si>
  <si>
    <t>Philips</t>
  </si>
  <si>
    <t>Health technology</t>
  </si>
  <si>
    <t>KPN N.V.</t>
  </si>
  <si>
    <t>Prosus N.V.</t>
  </si>
  <si>
    <t>Internet / platforms</t>
  </si>
  <si>
    <t>Stellantis N.V.</t>
  </si>
  <si>
    <t>Wolters Kluwer</t>
  </si>
  <si>
    <t>Information services</t>
  </si>
  <si>
    <t>Netherlands Treasury (DSL)</t>
  </si>
  <si>
    <t>Dutch State Loan</t>
  </si>
  <si>
    <t>Banco BPM</t>
  </si>
  <si>
    <t>Enel Finance Intl.</t>
  </si>
  <si>
    <t>Electricity</t>
  </si>
  <si>
    <t>ENI S.p.A.</t>
  </si>
  <si>
    <t>Intesa Sanpaolo S.p.A.</t>
  </si>
  <si>
    <t>Generali S.p.A.</t>
  </si>
  <si>
    <t>Mediobanca</t>
  </si>
  <si>
    <t>Snam S.p.A.</t>
  </si>
  <si>
    <t>Gas infrastructure</t>
  </si>
  <si>
    <t>Terna R.T.E.</t>
  </si>
  <si>
    <t>Power grid</t>
  </si>
  <si>
    <t>Unipol Assicurazioni S.p.A.</t>
  </si>
  <si>
    <t>Unipol Assicurazioni</t>
  </si>
  <si>
    <t>Italian Treasury (BTP)</t>
  </si>
  <si>
    <t>BTP</t>
  </si>
  <si>
    <t>Investment Grade Allocation (75% = USD 1,500,000)</t>
  </si>
  <si>
    <t>18 bonds</t>
  </si>
  <si>
    <t>To systematically learn interest rate dynamics, duration effects, yield curve behavior, and sector credit spreads, while maintaining portfolio stability.</t>
  </si>
  <si>
    <t>IG-1 | Government Bonds – Duration Lab</t>
  </si>
  <si>
    <t>30% of total bonds = USD 600,000
Government bonds isolate interest rate risk from credit risk
Long and medium duration bonds allow us to observe price sensitivity to rate movements
30% provides meaningful duration exposure without dominating the portfolio</t>
  </si>
  <si>
    <t>Weight</t>
  </si>
  <si>
    <t>Amount</t>
  </si>
  <si>
    <t>Why this bond &amp; this weight</t>
  </si>
  <si>
    <t>US Treasury 15-May-2040</t>
  </si>
  <si>
    <t>Very long duration; maximizes sensitivity to rate changes, ideal for learning convexity</t>
  </si>
  <si>
    <t>US Treasury 15-Feb-2031</t>
  </si>
  <si>
    <t>Medium duration benchmark; serves as reference point on the US curve</t>
  </si>
  <si>
    <t>German Bund 04-Jul-2040</t>
  </si>
  <si>
    <t>Core EUR risk-free asset; allows comparison between USD and EUR rate dynamics</t>
  </si>
  <si>
    <t>French OAT 25-May-2043</t>
  </si>
  <si>
    <t>Slightly higher sovereign spread vs Bund; used to study sovereign risk premium</t>
  </si>
  <si>
    <t>IG-2 | Investment-Grade Corporates – Sector Comparison</t>
  </si>
  <si>
    <t>30% of total bonds = USD 600,000
Same credit quality, different industries
Allows analysis of sector-specific credit spreads
Balanced exposure across defensive and cyclical sectors</t>
  </si>
  <si>
    <t>Sector</t>
  </si>
  <si>
    <t>Apple Inc 3.25% Feb-2026</t>
  </si>
  <si>
    <t>Ultra-high-quality IG; acts as quasi risk-free corporate benchmark</t>
  </si>
  <si>
    <t>Microsoft Corp 5.20% Jun-2039</t>
  </si>
  <si>
    <t>Long-term IG tech; combines duration risk with strong fundamentals</t>
  </si>
  <si>
    <t>Johnson &amp; Johnson 4.95% May-2033</t>
  </si>
  <si>
    <t>Defensive cash flows; low cyclicality</t>
  </si>
  <si>
    <t>JPMorgan Chase 5.50% Oct-2040</t>
  </si>
  <si>
    <t>Financial sector exposure; sensitive to economic and rate cycles</t>
  </si>
  <si>
    <t>Enel Finance Intl 3.875% Mar-2029</t>
  </si>
  <si>
    <t>Stable regulated cash flows; lower spread volatility</t>
  </si>
  <si>
    <t>IG-3 | IG Curve &amp; Geography</t>
  </si>
  <si>
    <t>15% of total bonds = USD 300,000
Compare EUR vs USD investment-grade credit
Same tenor, different countries and sectors
Smaller allocation as this is a comparative, not core, experiment</t>
  </si>
  <si>
    <t>AXA S.A. 3.25% May-2029</t>
  </si>
  <si>
    <t>European insurance IG; financial sector in EUR</t>
  </si>
  <si>
    <t>Deutsche Telekom 1.75% Mar-2031</t>
  </si>
  <si>
    <t>Core European telecom; low-risk EUR corporate</t>
  </si>
  <si>
    <t>Nestlé / Danone equivalent</t>
  </si>
  <si>
    <t>Europe</t>
  </si>
  <si>
    <t>Defensive consumer exposure; stable margins</t>
  </si>
  <si>
    <t>High Yield Allocation (25% = USD 500,000)</t>
  </si>
  <si>
    <t>To observe how credit risk is priced, repriced, and amplified, while strictly limiting downside risk.</t>
  </si>
  <si>
    <t>HY-1 | Fallen Angels / Near-IG</t>
  </si>
  <si>
    <t>40% of HY = USD 200,000
Former IG issuers provide a clean view of downgrade risk
Often show spread compression if fundamentals stabilize</t>
  </si>
  <si>
    <t>Ford Motor 7.5% Aug-2026</t>
  </si>
  <si>
    <t>Classic fallen angel; short maturity limits risk while allowing spread recovery analysis</t>
  </si>
  <si>
    <t>HY-2 | Cyclical High Yield</t>
  </si>
  <si>
    <t>35% of HY = USD 175,000
Credit risk strongly linked to economic cycles
Allows observation of macro → cash flow → credit spread transmission</t>
  </si>
  <si>
    <t>ENI S.p.A. 4.25% May-2033</t>
  </si>
  <si>
    <t>Commodity-linked cash flows; credit sensitive to oil prices</t>
  </si>
  <si>
    <t>Boeing 6.875% Oct-2043</t>
  </si>
  <si>
    <t>High leverage and long maturity; strong credit cyclicality</t>
  </si>
  <si>
    <t>HY-3 | Stable Cash Flow High Yield</t>
  </si>
  <si>
    <t>5% of HY = USD 125,000
High leverage but predictable cash flows
Shows why markets demand high spreads even for stable businesses</t>
  </si>
  <si>
    <t>Altria Group 9.95% Nov-2038</t>
  </si>
  <si>
    <t>Very high coupon; stable tobacco cash flows</t>
  </si>
  <si>
    <t>Philip Morris 6.375% May-2038</t>
  </si>
  <si>
    <t>Defensive HY; strong pricing power</t>
  </si>
  <si>
    <t>Bonds Strategy Version 2</t>
  </si>
  <si>
    <t>Class</t>
  </si>
  <si>
    <t>Semi-class</t>
  </si>
  <si>
    <t>Asset</t>
  </si>
  <si>
    <t>Ticker</t>
  </si>
  <si>
    <t>Total Amount (€)</t>
  </si>
  <si>
    <t>Currency</t>
  </si>
  <si>
    <t>Face value ($)</t>
  </si>
  <si>
    <t>Last Price ($)</t>
  </si>
  <si>
    <t>Last Coupon</t>
  </si>
  <si>
    <t>Accrued Interest Day</t>
  </si>
  <si>
    <t>Estimated Order + Accrued Interest ($)</t>
  </si>
  <si>
    <t>Estimated Order + Accrued Interest (€)</t>
  </si>
  <si>
    <t>Actual ANumber</t>
  </si>
  <si>
    <t>Actual Amount  ($)</t>
  </si>
  <si>
    <t>Actual Amount (€)</t>
  </si>
  <si>
    <t>Short Note</t>
  </si>
  <si>
    <t>Note</t>
  </si>
  <si>
    <t>Investment Rationale</t>
  </si>
  <si>
    <t>What to Monitor</t>
  </si>
  <si>
    <t>Rebalancing / Exit Trigger</t>
  </si>
  <si>
    <t>What You Learn</t>
  </si>
  <si>
    <t>Long Duration Government &amp; IG (40% = €120,000)</t>
  </si>
  <si>
    <t>Ultra-Long Sovereign Duration (20% = €60,000)</t>
  </si>
  <si>
    <t>US Treasury 2048</t>
  </si>
  <si>
    <t>T-BOND 3.125% 15-May-2048
B-T-3.125-15052048</t>
  </si>
  <si>
    <t>USD</t>
  </si>
  <si>
    <t>Bought US Treasury 3.125% May 2048 to gain high duration exposure and benefit from potential long-end yield declines. Large position reflects focus on price appreciation rather than carry. Trade driven by macro rate expectations and will be actively monitored and managed.</t>
  </si>
  <si>
    <r>
      <rPr>
        <b/>
        <sz val="11"/>
        <color rgb="FF000000"/>
        <rFont val="Calibri"/>
      </rPr>
      <t xml:space="preserve">US Treasury 3.125% 15-May-2048
</t>
    </r>
    <r>
      <rPr>
        <sz val="11"/>
        <color rgb="FF000000"/>
        <rFont val="Calibri"/>
      </rPr>
      <t xml:space="preserve">Ticker: B-T-3.125-15052048
</t>
    </r>
    <r>
      <rPr>
        <b/>
        <sz val="11"/>
        <color rgb="FF000000"/>
        <rFont val="Calibri"/>
      </rPr>
      <t xml:space="preserve">
Investment Thesis
</t>
    </r>
    <r>
      <rPr>
        <sz val="11"/>
        <color rgb="FF000000"/>
        <rFont val="Calibri"/>
      </rPr>
      <t xml:space="preserve">Long ultra-long US Treasury to gain maximum duration and convexity exposure
Macro-driven trade expecting long-end yields to decline
</t>
    </r>
    <r>
      <rPr>
        <b/>
        <sz val="11"/>
        <color rgb="FF000000"/>
        <rFont val="Calibri"/>
      </rPr>
      <t xml:space="preserve">
Role in Portfolio
</t>
    </r>
    <r>
      <rPr>
        <sz val="11"/>
        <color rgb="FF000000"/>
        <rFont val="Calibri"/>
      </rPr>
      <t xml:space="preserve">Core duration hedge and convexity anchor
Offsets credit, equity-linked, and cyclical risk elsewhere in portfolio
</t>
    </r>
    <r>
      <rPr>
        <b/>
        <sz val="11"/>
        <color rgb="FF000000"/>
        <rFont val="Calibri"/>
      </rPr>
      <t xml:space="preserve">
Sizing Logic
</t>
    </r>
    <r>
      <rPr>
        <sz val="11"/>
        <color rgb="FF000000"/>
        <rFont val="Calibri"/>
      </rPr>
      <t xml:space="preserve">$30,000 reflects deliberate overweight to long-duration rates
Focus on price sensitivity (Mod. Duration ~46), not carry
</t>
    </r>
    <r>
      <rPr>
        <b/>
        <sz val="11"/>
        <color rgb="FF000000"/>
        <rFont val="Calibri"/>
      </rPr>
      <t xml:space="preserve">
Expected Return Sources
</t>
    </r>
    <r>
      <rPr>
        <sz val="11"/>
        <color rgb="FF000000"/>
        <rFont val="Calibri"/>
      </rPr>
      <t xml:space="preserve">Capital gains from long-end yield compression
Convexity upside in recession or risk-off scenarios
</t>
    </r>
    <r>
      <rPr>
        <b/>
        <sz val="11"/>
        <color rgb="FF000000"/>
        <rFont val="Calibri"/>
      </rPr>
      <t xml:space="preserve">
Key Risks &amp; Monitoring
</t>
    </r>
    <r>
      <rPr>
        <sz val="11"/>
        <color rgb="FF000000"/>
        <rFont val="Calibri"/>
      </rPr>
      <t>Risk: inflation persistence or rising term premium
Monitor US 30Y yields, breakevens, Fed policy signals; actively rebalance if regime shifts</t>
    </r>
  </si>
  <si>
    <t>• Long-end duration &amp; convexity play • Macro recession / rate-cut hedge • Focus on price appreciation over carry</t>
  </si>
  <si>
    <t>• US 20Y–30Y Treasury yields • Fed pivot signals • Inflation expectations (breakevens)</t>
  </si>
  <si>
    <t>• Take profit after sharp long-end rally • Cut if yields structurally reprice higher</t>
  </si>
  <si>
    <t>• How ultra-long sovereigns amplify macro rate views</t>
  </si>
  <si>
    <t>German Bund 2048</t>
  </si>
  <si>
    <t>BUND 1.250% 15-Nov-2048
DE-B-1.250-15112048</t>
  </si>
  <si>
    <t>Initiating ultra-long German Bund for EUR risk-free duration and convexity. Positioned for ECB easing, growth slowdown, and risk-off scenarios. Complements US Treasury exposure and enhances cross-currency sovereign diversification. Returns driven by yield compression, not carry.</t>
  </si>
  <si>
    <r>
      <rPr>
        <b/>
        <sz val="11"/>
        <color rgb="FF000000"/>
        <rFont val="Calibri"/>
      </rPr>
      <t xml:space="preserve">German Bund 1.250% 15-Nov-2048
Investment Thesis
</t>
    </r>
    <r>
      <rPr>
        <sz val="11"/>
        <color rgb="FF000000"/>
        <rFont val="Calibri"/>
      </rPr>
      <t xml:space="preserve">Core EUR ultra-long sovereign duration exposure
Beneficiary of ECB easing cycle and long-end rate compression
</t>
    </r>
    <r>
      <rPr>
        <b/>
        <sz val="11"/>
        <color rgb="FF000000"/>
        <rFont val="Calibri"/>
      </rPr>
      <t xml:space="preserve">
Role in Portfolio
</t>
    </r>
    <r>
      <rPr>
        <sz val="11"/>
        <color rgb="FF000000"/>
        <rFont val="Calibri"/>
      </rPr>
      <t xml:space="preserve">EUR risk-free duration anchor
Balances credit and USD exposure
</t>
    </r>
    <r>
      <rPr>
        <b/>
        <sz val="11"/>
        <color rgb="FF000000"/>
        <rFont val="Calibri"/>
      </rPr>
      <t xml:space="preserve">
Sizing Logic
</t>
    </r>
    <r>
      <rPr>
        <sz val="11"/>
        <color rgb="FF000000"/>
        <rFont val="Calibri"/>
      </rPr>
      <t xml:space="preserve">€15k as half-size relative to US Treasury due to lower yield/convexity
</t>
    </r>
    <r>
      <rPr>
        <b/>
        <sz val="11"/>
        <color rgb="FF000000"/>
        <rFont val="Calibri"/>
      </rPr>
      <t xml:space="preserve">
Expected Return
</t>
    </r>
    <r>
      <rPr>
        <sz val="11"/>
        <color rgb="FF000000"/>
        <rFont val="Calibri"/>
      </rPr>
      <t xml:space="preserve">Capital gains from long-end yield decline
Convexity in recession / risk-off scenarios
</t>
    </r>
    <r>
      <rPr>
        <b/>
        <sz val="11"/>
        <color rgb="FF000000"/>
        <rFont val="Calibri"/>
      </rPr>
      <t xml:space="preserve">
Monitoring
</t>
    </r>
    <r>
      <rPr>
        <sz val="11"/>
        <color rgb="FF000000"/>
        <rFont val="Calibri"/>
      </rPr>
      <t>ECB policy path, EUR inflation expectations, 30Y Bund yield</t>
    </r>
  </si>
  <si>
    <t>• Core EUR risk-free duration anchor • Deflation / risk-off hedge • Low credit risk stabilizer</t>
  </si>
  <si>
    <t>• ECB policy path • Germany growth &amp; inflation • EUR rates curve shape</t>
  </si>
  <si>
    <t>• Reduce if ECB turns structurally hawkish • Trim if Bunds richen excessively</t>
  </si>
  <si>
    <t>• How core sovereigns behave in EUR stress regimes</t>
  </si>
  <si>
    <t>French OAT 2045</t>
  </si>
  <si>
    <t>OAT 3.250% 25-May-2045
FR-O-3.250-25052045</t>
  </si>
  <si>
    <r>
      <rPr>
        <b/>
        <sz val="11"/>
        <color rgb="FF000000"/>
        <rFont val="Calibri"/>
      </rPr>
      <t xml:space="preserve">French OAT 3.250% 25-May-2045
Investment Thesis
</t>
    </r>
    <r>
      <rPr>
        <sz val="11"/>
        <color rgb="FF000000"/>
        <rFont val="Calibri"/>
      </rPr>
      <t xml:space="preserve">Long EUR duration with positive carry vs Bund
Capture term premium in semi-core sovereign
</t>
    </r>
    <r>
      <rPr>
        <b/>
        <sz val="11"/>
        <color rgb="FF000000"/>
        <rFont val="Calibri"/>
      </rPr>
      <t xml:space="preserve">
Role in Portfolio
</t>
    </r>
    <r>
      <rPr>
        <sz val="11"/>
        <color rgb="FF000000"/>
        <rFont val="Calibri"/>
      </rPr>
      <t xml:space="preserve">Yield-enhanced EUR duration
Diversifies pure core-Bund exposure
</t>
    </r>
    <r>
      <rPr>
        <b/>
        <sz val="11"/>
        <color rgb="FF000000"/>
        <rFont val="Calibri"/>
      </rPr>
      <t xml:space="preserve">
Sizing Logic
</t>
    </r>
    <r>
      <rPr>
        <sz val="11"/>
        <color rgb="FF000000"/>
        <rFont val="Calibri"/>
      </rPr>
      <t xml:space="preserve">€15k symmetric allocation vs Bund
</t>
    </r>
    <r>
      <rPr>
        <b/>
        <sz val="11"/>
        <color rgb="FF000000"/>
        <rFont val="Calibri"/>
      </rPr>
      <t xml:space="preserve">
Expected Return
</t>
    </r>
    <r>
      <rPr>
        <sz val="11"/>
        <color rgb="FF000000"/>
        <rFont val="Calibri"/>
      </rPr>
      <t xml:space="preserve">Carry + moderate spread tightening vs Germany
</t>
    </r>
    <r>
      <rPr>
        <b/>
        <sz val="11"/>
        <color rgb="FF000000"/>
        <rFont val="Calibri"/>
      </rPr>
      <t xml:space="preserve">
Monitoring
</t>
    </r>
    <r>
      <rPr>
        <sz val="11"/>
        <color rgb="FF000000"/>
        <rFont val="Calibri"/>
      </rPr>
      <t>OAT-Bund spread, French fiscal signals</t>
    </r>
  </si>
  <si>
    <t>• EUR duration with mild spread pickup vs Bund • Balanced carry + duration exposure</t>
  </si>
  <si>
    <t>• OAT–Bund spread • French fiscal / political risk • ECB reinvestment policy</t>
  </si>
  <si>
    <t>• Exit if OAT–Bund spread widens structurally • Trim after spread compression</t>
  </si>
  <si>
    <t>• Sovereign spread risk within core Europe</t>
  </si>
  <si>
    <t>Long-Dated Investment-Grade Tech (20% = €60,000)</t>
  </si>
  <si>
    <t>Microsoft 2039</t>
  </si>
  <si>
    <t>Microsoft Corp - 5.2% - Jun 2039
B-MSFT-5.2-01062039</t>
  </si>
  <si>
    <r>
      <rPr>
        <b/>
        <sz val="11"/>
        <color rgb="FF000000"/>
        <rFont val="Calibri"/>
      </rPr>
      <t xml:space="preserve">Microsoft 2039 — €21,000（7%）
Investment Thesis
</t>
    </r>
    <r>
      <rPr>
        <sz val="11"/>
        <color rgb="FF000000"/>
        <rFont val="Calibri"/>
      </rPr>
      <t xml:space="preserve">High-quality IG credit combining strong balance sheet, recurring cash flows, and meaningful long-duration exposure.
</t>
    </r>
    <r>
      <rPr>
        <b/>
        <sz val="11"/>
        <color rgb="FF000000"/>
        <rFont val="Calibri"/>
      </rPr>
      <t xml:space="preserve">
Role in Portfolio
</t>
    </r>
    <r>
      <rPr>
        <sz val="11"/>
        <color rgb="FF000000"/>
        <rFont val="Calibri"/>
      </rPr>
      <t xml:space="preserve">Long-duration IG credit stabilizer with lower default and downgrade risk.
</t>
    </r>
    <r>
      <rPr>
        <b/>
        <sz val="11"/>
        <color rgb="FF000000"/>
        <rFont val="Calibri"/>
      </rPr>
      <t xml:space="preserve">
Sizing Logic
</t>
    </r>
    <r>
      <rPr>
        <sz val="11"/>
        <color rgb="FF000000"/>
        <rFont val="Calibri"/>
      </rPr>
      <t xml:space="preserve">Core IG exposure sized larger than other corporates due to superior credit quality and liquidity.
</t>
    </r>
    <r>
      <rPr>
        <b/>
        <sz val="11"/>
        <color rgb="FF000000"/>
        <rFont val="Calibri"/>
      </rPr>
      <t xml:space="preserve">
Expected Return Sources
</t>
    </r>
    <r>
      <rPr>
        <sz val="11"/>
        <color rgb="FF000000"/>
        <rFont val="Calibri"/>
      </rPr>
      <t xml:space="preserve">Coupon carry
Spread stability or modest tightening
Rate-driven price appreciation
</t>
    </r>
    <r>
      <rPr>
        <b/>
        <sz val="11"/>
        <color rgb="FF000000"/>
        <rFont val="Calibri"/>
      </rPr>
      <t xml:space="preserve">
Key Risks &amp; Mitigants
</t>
    </r>
    <r>
      <rPr>
        <sz val="11"/>
        <color rgb="FF000000"/>
        <rFont val="Calibri"/>
      </rPr>
      <t xml:space="preserve">Risk: Valuation compression if tech spreads widen
Mitigant: Paired with sovereign duration and non-tech IG exposure
</t>
    </r>
    <r>
      <rPr>
        <b/>
        <sz val="11"/>
        <color rgb="FF000000"/>
        <rFont val="Calibri"/>
      </rPr>
      <t xml:space="preserve">
Monitoring &amp; Exit Triggers
</t>
    </r>
    <r>
      <rPr>
        <sz val="11"/>
        <color rgb="FF000000"/>
        <rFont val="Calibri"/>
      </rPr>
      <t>Net debt / EBITDA trends
Regulatory pressure on big tech
Reduce if leverage policy materially changes</t>
    </r>
  </si>
  <si>
    <t>• High-quality IG tech credit • Long-duration rate convexity with strong balance sheet • Defensive growth exposure</t>
  </si>
  <si>
    <t>• Long-end US yields • MSFT credit spread • Tech capex cycle</t>
  </si>
  <si>
    <t>• Trim if spreads fully compress • Exit if tech credit fundamentals weaken</t>
  </si>
  <si>
    <t>• Difference between rate-driven vs credit-driven returns</t>
  </si>
  <si>
    <t>Apple 2041</t>
  </si>
  <si>
    <t>Apple Inc - 1.700% - Aug 2031
B-APPL-1.700-05082031</t>
  </si>
  <si>
    <r>
      <rPr>
        <b/>
        <sz val="11"/>
        <color rgb="FF000000"/>
        <rFont val="Calibri"/>
      </rPr>
      <t xml:space="preserve">Apple 1.700% Aug-2031
Investment Thesis
</t>
    </r>
    <r>
      <rPr>
        <sz val="11"/>
        <color rgb="FF000000"/>
        <rFont val="Calibri"/>
      </rPr>
      <t xml:space="preserve">Ultra-high-quality IG with minimal default risk
Duration exposure with defensive profile
</t>
    </r>
    <r>
      <rPr>
        <b/>
        <sz val="11"/>
        <color rgb="FF000000"/>
        <rFont val="Calibri"/>
      </rPr>
      <t xml:space="preserve">
Role in Portfolio
</t>
    </r>
    <r>
      <rPr>
        <sz val="11"/>
        <color rgb="FF000000"/>
        <rFont val="Calibri"/>
      </rPr>
      <t xml:space="preserve">Stability anchor within credit sleeve
</t>
    </r>
    <r>
      <rPr>
        <b/>
        <sz val="11"/>
        <color rgb="FF000000"/>
        <rFont val="Calibri"/>
      </rPr>
      <t xml:space="preserve">
Sizing Logic
</t>
    </r>
    <r>
      <rPr>
        <sz val="11"/>
        <color rgb="FF000000"/>
        <rFont val="Calibri"/>
      </rPr>
      <t xml:space="preserve">$21k balanced vs Microsoft
</t>
    </r>
    <r>
      <rPr>
        <b/>
        <sz val="11"/>
        <color rgb="FF000000"/>
        <rFont val="Calibri"/>
      </rPr>
      <t xml:space="preserve">
Expected Return
</t>
    </r>
    <r>
      <rPr>
        <sz val="11"/>
        <color rgb="FF000000"/>
        <rFont val="Calibri"/>
      </rPr>
      <t xml:space="preserve">Price sensitivity to rates, not credit
</t>
    </r>
    <r>
      <rPr>
        <b/>
        <sz val="11"/>
        <color rgb="FF000000"/>
        <rFont val="Calibri"/>
      </rPr>
      <t xml:space="preserve">
Monitoring
</t>
    </r>
    <r>
      <rPr>
        <sz val="11"/>
        <color rgb="FF000000"/>
        <rFont val="Calibri"/>
      </rPr>
      <t>Rate environment, Apple balance sheet strength</t>
    </r>
  </si>
  <si>
    <t>• Ultra-high-quality issuer • Low-coupon = high rate sensitivity • Pure duration exposure via corporate IG</t>
  </si>
  <si>
    <t>• US yield curve • Apple cash flow &amp; capital returns • IG tech spread levels</t>
  </si>
  <si>
    <t>• Rebalance if duration overweight • Exit if curve steepens sharply</t>
  </si>
  <si>
    <t>• How low coupons magnify duration risk</t>
  </si>
  <si>
    <t>ASML 2032</t>
  </si>
  <si>
    <t>ASML Holding - 2.250% - May 2032
NL-ASML-2.250-17042032</t>
  </si>
  <si>
    <r>
      <rPr>
        <b/>
        <sz val="11"/>
        <color rgb="FF000000"/>
        <rFont val="Calibri"/>
      </rPr>
      <t xml:space="preserve">ASML 2.250% May-2032
Investment Thesis
</t>
    </r>
    <r>
      <rPr>
        <sz val="11"/>
        <color rgb="FF000000"/>
        <rFont val="Calibri"/>
      </rPr>
      <t xml:space="preserve">Strategic semiconductor monopoly credit
Strong pricing power and structural demand
</t>
    </r>
    <r>
      <rPr>
        <b/>
        <sz val="11"/>
        <color rgb="FF000000"/>
        <rFont val="Calibri"/>
      </rPr>
      <t xml:space="preserve">
Role in Portfolio
</t>
    </r>
    <r>
      <rPr>
        <sz val="11"/>
        <color rgb="FF000000"/>
        <rFont val="Calibri"/>
      </rPr>
      <t xml:space="preserve">Cyclical IG tech diversifier
</t>
    </r>
    <r>
      <rPr>
        <b/>
        <sz val="11"/>
        <color rgb="FF000000"/>
        <rFont val="Calibri"/>
      </rPr>
      <t xml:space="preserve">
Sizing Logic
</t>
    </r>
    <r>
      <rPr>
        <sz val="11"/>
        <color rgb="FF000000"/>
        <rFont val="Calibri"/>
      </rPr>
      <t xml:space="preserve">€18k due to shorter tenor and EUR exposure
</t>
    </r>
    <r>
      <rPr>
        <b/>
        <sz val="11"/>
        <color rgb="FF000000"/>
        <rFont val="Calibri"/>
      </rPr>
      <t xml:space="preserve">
Expected Return
</t>
    </r>
    <r>
      <rPr>
        <sz val="11"/>
        <color rgb="FF000000"/>
        <rFont val="Calibri"/>
      </rPr>
      <t xml:space="preserve">Carry + credit spread stability
</t>
    </r>
    <r>
      <rPr>
        <b/>
        <sz val="11"/>
        <color rgb="FF000000"/>
        <rFont val="Calibri"/>
      </rPr>
      <t xml:space="preserve">
Monitoring
</t>
    </r>
    <r>
      <rPr>
        <sz val="11"/>
        <color rgb="FF000000"/>
        <rFont val="Calibri"/>
      </rPr>
      <t>Semiconductor cycle, geopolitics</t>
    </r>
  </si>
  <si>
    <t>• Strategic semiconductor monopoly • IG tech with moderate duration • EUR tech exposure diversifier</t>
  </si>
  <si>
    <t>• Semiconductor cycle • Capex by foundries • ASML backlog visibility</t>
  </si>
  <si>
    <t>• Trim if chip cycle peaks • Add on spread widening without credit deterioration</t>
  </si>
  <si>
    <t>• Credit behavior of monopoly-like tech issuers</t>
  </si>
  <si>
    <t>High Yield Credit (30% = €90,000)</t>
  </si>
  <si>
    <t>Fallen Angels / Near-IG HY (12% = €36,000)</t>
  </si>
  <si>
    <t>Ford 2026</t>
  </si>
  <si>
    <t>Ford Motor Co. - 7.500% - Aug 2026
B-F-7.500-01082026</t>
  </si>
  <si>
    <r>
      <rPr>
        <b/>
        <sz val="11"/>
        <color rgb="FF000000"/>
        <rFont val="Calibri"/>
      </rPr>
      <t xml:space="preserve">Ford 7.500% Aug-2026
Investment Thesis
</t>
    </r>
    <r>
      <rPr>
        <sz val="11"/>
        <color rgb="FF000000"/>
        <rFont val="Calibri"/>
      </rPr>
      <t xml:space="preserve">Fallen angel HY with near-term maturity
High carry with refinancing optionality
</t>
    </r>
    <r>
      <rPr>
        <b/>
        <sz val="11"/>
        <color rgb="FF000000"/>
        <rFont val="Calibri"/>
      </rPr>
      <t xml:space="preserve">
Role in Portfolio
</t>
    </r>
    <r>
      <rPr>
        <sz val="11"/>
        <color rgb="FF000000"/>
        <rFont val="Calibri"/>
      </rPr>
      <t xml:space="preserve">Short-dated HY carry play
</t>
    </r>
    <r>
      <rPr>
        <b/>
        <sz val="11"/>
        <color rgb="FF000000"/>
        <rFont val="Calibri"/>
      </rPr>
      <t xml:space="preserve">
Sizing Logic
</t>
    </r>
    <r>
      <rPr>
        <sz val="11"/>
        <color rgb="FF000000"/>
        <rFont val="Calibri"/>
      </rPr>
      <t xml:space="preserve">$18k limited tenor risk
</t>
    </r>
    <r>
      <rPr>
        <b/>
        <sz val="11"/>
        <color rgb="FF000000"/>
        <rFont val="Calibri"/>
      </rPr>
      <t xml:space="preserve">
Expected Return
</t>
    </r>
    <r>
      <rPr>
        <sz val="11"/>
        <color rgb="FF000000"/>
        <rFont val="Calibri"/>
      </rPr>
      <t xml:space="preserve">Coupon income + pull-to-par
</t>
    </r>
    <r>
      <rPr>
        <b/>
        <sz val="11"/>
        <color rgb="FF000000"/>
        <rFont val="Calibri"/>
      </rPr>
      <t xml:space="preserve">
Monitoring
</t>
    </r>
    <r>
      <rPr>
        <sz val="11"/>
        <color rgb="FF000000"/>
        <rFont val="Calibri"/>
      </rPr>
      <t>Auto demand, refinancing progress</t>
    </r>
  </si>
  <si>
    <t>• Fallen angel rebound trade • Short-dated HY with strong cash generation • Yield-driven carry play</t>
  </si>
  <si>
    <t>• Auto demand • Liquidity &amp; refinancing risk • Rating trajectory</t>
  </si>
  <si>
    <t>• Exit near maturity • Cut if liquidity deteriorates</t>
  </si>
  <si>
    <t>• Risk/return profile of short-dated HY</t>
  </si>
  <si>
    <t>Kraft Heinz 2040</t>
  </si>
  <si>
    <t>Kraft Heinz Foods - 6.500% - Feb 2040
B-KRFT-6.5-09022040</t>
  </si>
  <si>
    <r>
      <rPr>
        <b/>
        <sz val="11"/>
        <color rgb="FF000000"/>
        <rFont val="Calibri"/>
      </rPr>
      <t xml:space="preserve">Kraft Heinz 6.500% Feb-2040
Investment Thesis
</t>
    </r>
    <r>
      <rPr>
        <sz val="11"/>
        <color rgb="FF000000"/>
        <rFont val="Calibri"/>
      </rPr>
      <t xml:space="preserve">Defensive consumer staples HY
Stable cash flows support long-dated debt
</t>
    </r>
    <r>
      <rPr>
        <b/>
        <sz val="11"/>
        <color rgb="FF000000"/>
        <rFont val="Calibri"/>
      </rPr>
      <t xml:space="preserve">
Role in Portfolio
</t>
    </r>
    <r>
      <rPr>
        <sz val="11"/>
        <color rgb="FF000000"/>
        <rFont val="Calibri"/>
      </rPr>
      <t xml:space="preserve">HY income stabilizer
</t>
    </r>
    <r>
      <rPr>
        <b/>
        <sz val="11"/>
        <color rgb="FF000000"/>
        <rFont val="Calibri"/>
      </rPr>
      <t xml:space="preserve">
Sizing Logic
</t>
    </r>
    <r>
      <rPr>
        <sz val="11"/>
        <color rgb="FF000000"/>
        <rFont val="Calibri"/>
      </rPr>
      <t xml:space="preserve">$18k symmetric with Ford
</t>
    </r>
    <r>
      <rPr>
        <b/>
        <sz val="11"/>
        <color rgb="FF000000"/>
        <rFont val="Calibri"/>
      </rPr>
      <t xml:space="preserve">
Expected Return
</t>
    </r>
    <r>
      <rPr>
        <sz val="11"/>
        <color rgb="FF000000"/>
        <rFont val="Calibri"/>
      </rPr>
      <t xml:space="preserve">High carry + gradual spread normalization
</t>
    </r>
    <r>
      <rPr>
        <b/>
        <sz val="11"/>
        <color rgb="FF000000"/>
        <rFont val="Calibri"/>
      </rPr>
      <t xml:space="preserve">
Monitoring
</t>
    </r>
    <r>
      <rPr>
        <sz val="11"/>
        <color rgb="FF000000"/>
        <rFont val="Calibri"/>
      </rPr>
      <t>Leverage metrics, pricing power</t>
    </r>
  </si>
  <si>
    <t>• Stable consumer staples cash flows • HY carry with defensive characteristics • Long-dated income play</t>
  </si>
  <si>
    <t>• Leverage trends • Margin stabilization • Consumer demand</t>
  </si>
  <si>
    <t>• Trim if leverage worsens • Exit if spreads tighten excessively</t>
  </si>
  <si>
    <t>• Defensive HY behavior across cycles</t>
  </si>
  <si>
    <t>Stable Cash-Flow HY (10% = €30,000)</t>
  </si>
  <si>
    <t>Altria 2038</t>
  </si>
  <si>
    <t>Altria Group Inc - 9.95% - Nov 2038
B-MO-9.95-10112038</t>
  </si>
  <si>
    <r>
      <rPr>
        <b/>
        <sz val="11"/>
        <color rgb="FF000000"/>
        <rFont val="Calibri"/>
      </rPr>
      <t xml:space="preserve">Altria 9.95% Nov-2038
Investment Thesis
</t>
    </r>
    <r>
      <rPr>
        <sz val="11"/>
        <color rgb="FF000000"/>
        <rFont val="Calibri"/>
      </rPr>
      <t xml:space="preserve">Very high cash-flow tobacco credit
Regulatory risk priced into yield
</t>
    </r>
    <r>
      <rPr>
        <b/>
        <sz val="11"/>
        <color rgb="FF000000"/>
        <rFont val="Calibri"/>
      </rPr>
      <t xml:space="preserve">
Role in Portfolio
</t>
    </r>
    <r>
      <rPr>
        <sz val="11"/>
        <color rgb="FF000000"/>
        <rFont val="Calibri"/>
      </rPr>
      <t xml:space="preserve">Core HY income engine
</t>
    </r>
    <r>
      <rPr>
        <b/>
        <sz val="11"/>
        <color rgb="FF000000"/>
        <rFont val="Calibri"/>
      </rPr>
      <t xml:space="preserve">
Sizing Logic
</t>
    </r>
    <r>
      <rPr>
        <sz val="11"/>
        <color rgb="FF000000"/>
        <rFont val="Calibri"/>
      </rPr>
      <t xml:space="preserve">$15k due to regulatory tail risk
</t>
    </r>
    <r>
      <rPr>
        <b/>
        <sz val="11"/>
        <color rgb="FF000000"/>
        <rFont val="Calibri"/>
      </rPr>
      <t xml:space="preserve">
Expected Return
</t>
    </r>
    <r>
      <rPr>
        <sz val="11"/>
        <color rgb="FF000000"/>
        <rFont val="Calibri"/>
      </rPr>
      <t xml:space="preserve">Coupon-driven total return
</t>
    </r>
    <r>
      <rPr>
        <b/>
        <sz val="11"/>
        <color rgb="FF000000"/>
        <rFont val="Calibri"/>
      </rPr>
      <t xml:space="preserve">
Monitoring
</t>
    </r>
    <r>
      <rPr>
        <sz val="11"/>
        <color rgb="FF000000"/>
        <rFont val="Calibri"/>
      </rPr>
      <t>Regulation, payout sustainability</t>
    </r>
  </si>
  <si>
    <t>• Very high cash-flow visibility • High coupon income • Defensive sin-sector HY</t>
  </si>
  <si>
    <t>• Regulatory risk • Volume trends • Litigation developments</t>
  </si>
  <si>
    <t>• Take profit after spread compression • Exit on regulatory shock</t>
  </si>
  <si>
    <t>• Pricing power vs regulatory risk trade-off</t>
  </si>
  <si>
    <t>Philip Morris 2038</t>
  </si>
  <si>
    <t>Philip Morris - 6.375% - May 2038
B-PM-6.375-16052038</t>
  </si>
  <si>
    <r>
      <rPr>
        <b/>
        <sz val="11"/>
        <color rgb="FF000000"/>
        <rFont val="Calibri"/>
      </rPr>
      <t xml:space="preserve">Philip Morris 6.375% May-2038
Investment Thesis
</t>
    </r>
    <r>
      <rPr>
        <sz val="11"/>
        <color rgb="FF000000"/>
        <rFont val="Calibri"/>
      </rPr>
      <t xml:space="preserve">Global tobacco with diversification vs Altria
Lower regulatory concentration risk
</t>
    </r>
    <r>
      <rPr>
        <b/>
        <sz val="11"/>
        <color rgb="FF000000"/>
        <rFont val="Calibri"/>
      </rPr>
      <t xml:space="preserve">
Role in Portfolio
</t>
    </r>
    <r>
      <rPr>
        <sz val="11"/>
        <color rgb="FF000000"/>
        <rFont val="Calibri"/>
      </rPr>
      <t xml:space="preserve">Complementary HY cash-flow exposure
</t>
    </r>
    <r>
      <rPr>
        <b/>
        <sz val="11"/>
        <color rgb="FF000000"/>
        <rFont val="Calibri"/>
      </rPr>
      <t xml:space="preserve">
Sizing Logic
</t>
    </r>
    <r>
      <rPr>
        <sz val="11"/>
        <color rgb="FF000000"/>
        <rFont val="Calibri"/>
      </rPr>
      <t xml:space="preserve">$15k paired with Altria
</t>
    </r>
    <r>
      <rPr>
        <b/>
        <sz val="11"/>
        <color rgb="FF000000"/>
        <rFont val="Calibri"/>
      </rPr>
      <t xml:space="preserve">
Expected Return
</t>
    </r>
    <r>
      <rPr>
        <sz val="11"/>
        <color rgb="FF000000"/>
        <rFont val="Calibri"/>
      </rPr>
      <t xml:space="preserve">Carry + credit stability
</t>
    </r>
    <r>
      <rPr>
        <b/>
        <sz val="11"/>
        <color rgb="FF000000"/>
        <rFont val="Calibri"/>
      </rPr>
      <t xml:space="preserve">
Monitoring
</t>
    </r>
    <r>
      <rPr>
        <sz val="11"/>
        <color rgb="FF000000"/>
        <rFont val="Calibri"/>
      </rPr>
      <t>Reduced-risk product transition</t>
    </r>
  </si>
  <si>
    <t>• Global diversification vs Altria • Strong cash flows • HY with lower regulatory concentration risk</t>
  </si>
  <si>
    <t>• Heated tobacco adoption • FX exposure • Credit metrics</t>
  </si>
  <si>
    <t>• Rebalance vs Altria if relative value shifts</t>
  </si>
  <si>
    <t>• Intra-sector relative value within tobacco</t>
  </si>
  <si>
    <t>Event / Cyclical HY (8% = €24,000)</t>
  </si>
  <si>
    <t>Boeing 2043</t>
  </si>
  <si>
    <t>Boeing Co - 6.875% - Oct 2043
B-BA-6.875-15102043</t>
  </si>
  <si>
    <r>
      <rPr>
        <b/>
        <sz val="11"/>
        <color rgb="FF000000"/>
        <rFont val="Calibri"/>
      </rPr>
      <t xml:space="preserve">Boeing 2043 — €15,000（5%）
Investment Thesis
</t>
    </r>
    <r>
      <rPr>
        <sz val="11"/>
        <color rgb="FF000000"/>
        <rFont val="Calibri"/>
      </rPr>
      <t xml:space="preserve">Event-driven high yield exposure linked to operational normalization and delivery recovery.
</t>
    </r>
    <r>
      <rPr>
        <b/>
        <sz val="11"/>
        <color rgb="FF000000"/>
        <rFont val="Calibri"/>
      </rPr>
      <t xml:space="preserve">
Role in Portfolio
</t>
    </r>
    <r>
      <rPr>
        <sz val="11"/>
        <color rgb="FF000000"/>
        <rFont val="Calibri"/>
      </rPr>
      <t xml:space="preserve">Return enhancer with asymmetric upside from credit spread compression.
</t>
    </r>
    <r>
      <rPr>
        <b/>
        <sz val="11"/>
        <color rgb="FF000000"/>
        <rFont val="Calibri"/>
      </rPr>
      <t xml:space="preserve">
Sizing Logic
</t>
    </r>
    <r>
      <rPr>
        <sz val="11"/>
        <color rgb="FF000000"/>
        <rFont val="Calibri"/>
      </rPr>
      <t xml:space="preserve">Capped at 5% due to idiosyncratic operational and regulatory risks.
</t>
    </r>
    <r>
      <rPr>
        <b/>
        <sz val="11"/>
        <color rgb="FF000000"/>
        <rFont val="Calibri"/>
      </rPr>
      <t xml:space="preserve">
Expected Return Sources
</t>
    </r>
    <r>
      <rPr>
        <sz val="11"/>
        <color rgb="FF000000"/>
        <rFont val="Calibri"/>
      </rPr>
      <t xml:space="preserve">High coupon carry
Spread tightening upon resolution of production and safety issues
</t>
    </r>
    <r>
      <rPr>
        <b/>
        <sz val="11"/>
        <color rgb="FF000000"/>
        <rFont val="Calibri"/>
      </rPr>
      <t xml:space="preserve">
Key Risks &amp; Mitigants
</t>
    </r>
    <r>
      <rPr>
        <sz val="11"/>
        <color rgb="FF000000"/>
        <rFont val="Calibri"/>
      </rPr>
      <t xml:space="preserve">Risk: New safety incidents or delivery halts
Mitigant: Limited sizing and diversification across HY bucket
</t>
    </r>
    <r>
      <rPr>
        <b/>
        <sz val="11"/>
        <color rgb="FF000000"/>
        <rFont val="Calibri"/>
      </rPr>
      <t xml:space="preserve">
Monitoring &amp; Exit Triggers
</t>
    </r>
    <r>
      <rPr>
        <sz val="11"/>
        <color rgb="FF000000"/>
        <rFont val="Calibri"/>
      </rPr>
      <t>FAA approvals
Aircraft delivery schedules
Exit if operational setbacks re-emerge</t>
    </r>
  </si>
  <si>
    <t>• Event-driven HY credit • Recovery upside from aerospace normalization • High carry compensation</t>
  </si>
  <si>
    <t>• Aircraft deliveries • Free cash flow • Rating outlook</t>
  </si>
  <si>
    <t>• Exit if recovery stalls • Trim after major credit upgrade</t>
  </si>
  <si>
    <t>• Event risk vs carry in cyclical credits</t>
  </si>
  <si>
    <t>US Steel 2029</t>
  </si>
  <si>
    <t>United States Steel Corp - 6.875% - Mar 2029
B-X-6.875-01032029</t>
  </si>
  <si>
    <r>
      <rPr>
        <b/>
        <sz val="11"/>
        <color rgb="FF000000"/>
        <rFont val="Calibri"/>
      </rPr>
      <t xml:space="preserve">US Steel 6.875% Mar-2029
Investment Thesis
</t>
    </r>
    <r>
      <rPr>
        <sz val="11"/>
        <color rgb="FF000000"/>
        <rFont val="Calibri"/>
      </rPr>
      <t xml:space="preserve">Short-dated cyclical commodity credit
High carry with limited duration risk
</t>
    </r>
    <r>
      <rPr>
        <b/>
        <sz val="11"/>
        <color rgb="FF000000"/>
        <rFont val="Calibri"/>
      </rPr>
      <t xml:space="preserve">
Role in Portfolio
</t>
    </r>
    <r>
      <rPr>
        <sz val="11"/>
        <color rgb="FF000000"/>
        <rFont val="Calibri"/>
      </rPr>
      <t xml:space="preserve">Tactical HY cycle exposure
</t>
    </r>
    <r>
      <rPr>
        <b/>
        <sz val="11"/>
        <color rgb="FF000000"/>
        <rFont val="Calibri"/>
      </rPr>
      <t xml:space="preserve">
Sizing Logic
</t>
    </r>
    <r>
      <rPr>
        <sz val="11"/>
        <color rgb="FF000000"/>
        <rFont val="Calibri"/>
      </rPr>
      <t xml:space="preserve">$9k small satellite position
</t>
    </r>
    <r>
      <rPr>
        <b/>
        <sz val="11"/>
        <color rgb="FF000000"/>
        <rFont val="Calibri"/>
      </rPr>
      <t xml:space="preserve">
Expected Return
</t>
    </r>
    <r>
      <rPr>
        <sz val="11"/>
        <color rgb="FF000000"/>
        <rFont val="Calibri"/>
      </rPr>
      <t xml:space="preserve">Carry + pull-to-par
</t>
    </r>
    <r>
      <rPr>
        <b/>
        <sz val="11"/>
        <color rgb="FF000000"/>
        <rFont val="Calibri"/>
      </rPr>
      <t xml:space="preserve">
Monitoring
</t>
    </r>
    <r>
      <rPr>
        <sz val="11"/>
        <color rgb="FF000000"/>
        <rFont val="Calibri"/>
      </rPr>
      <t>Steel prices, demand cycle</t>
    </r>
  </si>
  <si>
    <t>• Late-cycle cyclical HY exposure • Shorter tenor limits downside • Commodity-linked rebound play</t>
  </si>
  <si>
    <t>• Steel prices • Global demand • Balance sheet discipline</t>
  </si>
  <si>
    <t>• Exit if cycle turns down • Hold to maturity if stable</t>
  </si>
  <si>
    <t>• Timing risk in commodity-linked credit</t>
  </si>
  <si>
    <t>Relative Value Strategies (20% = €60,000)</t>
  </si>
  <si>
    <t>Sovereign Spread Trade (10% = €30,000)</t>
  </si>
  <si>
    <t>BTP 3.100% 03-Jan-2040
IT-B-3.100-03012040</t>
  </si>
  <si>
    <t>• Peripheral sovereign spread compression play • Long Italy duration • ECB backstop exposure</t>
  </si>
  <si>
    <t>• BTP–Bund spread • Italian fiscal policy • ECB support stance</t>
  </si>
  <si>
    <t>• Exit if political risk escalates • Take profit on spread tightening</t>
  </si>
  <si>
    <t>• Sovereign spread dynamics in EUR</t>
  </si>
  <si>
    <t>BUND 4.750% 04-Jul-2040
DE-B-4.750-04072040</t>
  </si>
  <si>
    <t>Short Bund 2040 as duration hedge against long BTP/OAT. Neutralizes pure rate risk while retaining peripheral spread compression exposure.</t>
  </si>
  <si>
    <r>
      <rPr>
        <b/>
        <sz val="11"/>
        <color rgb="FF000000"/>
        <rFont val="Calibri"/>
      </rPr>
      <t xml:space="preserve">Bund 4.750% Jul-2040 (Short / Hedge)
Investment Thesis
</t>
    </r>
    <r>
      <rPr>
        <sz val="11"/>
        <color rgb="FF000000"/>
        <rFont val="Calibri"/>
      </rPr>
      <t xml:space="preserve">Hedge against EUR rate rise
Neutralizes duration in BTP leg
</t>
    </r>
    <r>
      <rPr>
        <b/>
        <sz val="11"/>
        <color rgb="FF000000"/>
        <rFont val="Calibri"/>
      </rPr>
      <t xml:space="preserve">
Role in Portfolio
</t>
    </r>
    <r>
      <rPr>
        <sz val="11"/>
        <color rgb="FF000000"/>
        <rFont val="Calibri"/>
      </rPr>
      <t xml:space="preserve">Relative-value hedge leg
</t>
    </r>
    <r>
      <rPr>
        <b/>
        <sz val="11"/>
        <color rgb="FF000000"/>
        <rFont val="Calibri"/>
      </rPr>
      <t xml:space="preserve">
Sizing Logic
</t>
    </r>
    <r>
      <rPr>
        <sz val="11"/>
        <color rgb="FF000000"/>
        <rFont val="Calibri"/>
      </rPr>
      <t xml:space="preserve">€15k matched notional
</t>
    </r>
    <r>
      <rPr>
        <b/>
        <sz val="11"/>
        <color rgb="FF000000"/>
        <rFont val="Calibri"/>
      </rPr>
      <t xml:space="preserve">
Expected Return
</t>
    </r>
    <r>
      <rPr>
        <sz val="11"/>
        <color rgb="FF000000"/>
        <rFont val="Calibri"/>
      </rPr>
      <t xml:space="preserve">Relative performance vs BTP
</t>
    </r>
    <r>
      <rPr>
        <b/>
        <sz val="11"/>
        <color rgb="FF000000"/>
        <rFont val="Calibri"/>
      </rPr>
      <t xml:space="preserve">
Monitoring
</t>
    </r>
    <r>
      <rPr>
        <sz val="11"/>
        <color rgb="FF000000"/>
        <rFont val="Calibri"/>
      </rPr>
      <t>BTP-Bund spread dynamics</t>
    </r>
  </si>
  <si>
    <t>• Hedge against BTP spread widening • Duration-neutral EUR RV trade • Risk-off protection leg</t>
  </si>
  <si>
    <t>• Bund yields • ECB communication • BTP volatility</t>
  </si>
  <si>
    <t>• Adjust hedge ratio if spreads compress materially</t>
  </si>
  <si>
    <t>• How sovereign hedges work in RV trades</t>
  </si>
  <si>
    <t>Credit Relative Value (10% = €30,000)</t>
  </si>
  <si>
    <t>JPM 2038</t>
  </si>
  <si>
    <t>JP Morgan Chase Co - 6.400% - May 2038
B-JPM-6.4-15052038</t>
  </si>
  <si>
    <r>
      <rPr>
        <b/>
        <sz val="11"/>
        <color rgb="FF000000"/>
        <rFont val="Calibri"/>
      </rPr>
      <t xml:space="preserve">JPM 6.400% May-2038
Investment Thesis
</t>
    </r>
    <r>
      <rPr>
        <sz val="11"/>
        <color rgb="FF000000"/>
        <rFont val="Calibri"/>
      </rPr>
      <t xml:space="preserve">High-quality US bank credit
Attractive yield vs peers
</t>
    </r>
    <r>
      <rPr>
        <b/>
        <sz val="11"/>
        <color rgb="FF000000"/>
        <rFont val="Calibri"/>
      </rPr>
      <t xml:space="preserve">
Role in Portfolio
</t>
    </r>
    <r>
      <rPr>
        <sz val="11"/>
        <color rgb="FF000000"/>
        <rFont val="Calibri"/>
      </rPr>
      <t xml:space="preserve">Credit relative-value anchor
</t>
    </r>
    <r>
      <rPr>
        <b/>
        <sz val="11"/>
        <color rgb="FF000000"/>
        <rFont val="Calibri"/>
      </rPr>
      <t xml:space="preserve">
Sizing Logic
</t>
    </r>
    <r>
      <rPr>
        <sz val="11"/>
        <color rgb="FF000000"/>
        <rFont val="Calibri"/>
      </rPr>
      <t xml:space="preserve">$10k core financial credit
</t>
    </r>
    <r>
      <rPr>
        <b/>
        <sz val="11"/>
        <color rgb="FF000000"/>
        <rFont val="Calibri"/>
      </rPr>
      <t xml:space="preserve">
Expected Return
</t>
    </r>
    <r>
      <rPr>
        <sz val="11"/>
        <color rgb="FF000000"/>
        <rFont val="Calibri"/>
      </rPr>
      <t xml:space="preserve">Carry + modest spread tightening
</t>
    </r>
    <r>
      <rPr>
        <b/>
        <sz val="11"/>
        <color rgb="FF000000"/>
        <rFont val="Calibri"/>
      </rPr>
      <t xml:space="preserve">
Monitoring
</t>
    </r>
    <r>
      <rPr>
        <sz val="11"/>
        <color rgb="FF000000"/>
        <rFont val="Calibri"/>
      </rPr>
      <t>Capital ratios, macro credit cycle</t>
    </r>
  </si>
  <si>
    <t>• Systemic bank credit • High coupon IG/HY crossover • Financials RV anchor</t>
  </si>
  <si>
    <t>• Bank funding spreads • Yield curve shape • Regulatory capital ratios</t>
  </si>
  <si>
    <t>• Trim if spreads normalize fully • Exit on financial stress</t>
  </si>
  <si>
    <t>• Bank credit sensitivity to macro cycles</t>
  </si>
  <si>
    <t>JPM 2040</t>
  </si>
  <si>
    <t>JP Morgan Chase Co - 5.500% - Oct 2040
B-JPM-5.5-15102040</t>
  </si>
  <si>
    <r>
      <rPr>
        <b/>
        <sz val="11"/>
        <color rgb="FF000000"/>
        <rFont val="Calibri"/>
      </rPr>
      <t xml:space="preserve">JPM 5.500% Oct-2040
Investment Thesis
</t>
    </r>
    <r>
      <rPr>
        <sz val="11"/>
        <color rgb="FF000000"/>
        <rFont val="Calibri"/>
      </rPr>
      <t xml:space="preserve">Longer-duration extension of JPM credit
Higher rate sensitivity
</t>
    </r>
    <r>
      <rPr>
        <b/>
        <sz val="11"/>
        <color rgb="FF000000"/>
        <rFont val="Calibri"/>
      </rPr>
      <t xml:space="preserve">
Role in Portfolio
</t>
    </r>
    <r>
      <rPr>
        <sz val="11"/>
        <color rgb="FF000000"/>
        <rFont val="Calibri"/>
      </rPr>
      <t xml:space="preserve">Curve steepness exposure within issuer
</t>
    </r>
    <r>
      <rPr>
        <b/>
        <sz val="11"/>
        <color rgb="FF000000"/>
        <rFont val="Calibri"/>
      </rPr>
      <t xml:space="preserve">
Sizing Logic
</t>
    </r>
    <r>
      <rPr>
        <sz val="11"/>
        <color rgb="FF000000"/>
        <rFont val="Calibri"/>
      </rPr>
      <t xml:space="preserve">$8k smaller size due to duration
</t>
    </r>
    <r>
      <rPr>
        <b/>
        <sz val="11"/>
        <color rgb="FF000000"/>
        <rFont val="Calibri"/>
      </rPr>
      <t xml:space="preserve">
Expected Return
</t>
    </r>
    <r>
      <rPr>
        <sz val="11"/>
        <color rgb="FF000000"/>
        <rFont val="Calibri"/>
      </rPr>
      <t xml:space="preserve">Carry + curve-driven price gains
</t>
    </r>
    <r>
      <rPr>
        <b/>
        <sz val="11"/>
        <color rgb="FF000000"/>
        <rFont val="Calibri"/>
      </rPr>
      <t xml:space="preserve">
Monitoring
</t>
    </r>
    <r>
      <rPr>
        <sz val="11"/>
        <color rgb="FF000000"/>
        <rFont val="Calibri"/>
      </rPr>
      <t>Long-end rates, bank regulation</t>
    </r>
  </si>
  <si>
    <t>• Longer-duration financial credit • Curve &amp; spread relative value vs JPM 2038 • Carry + duration mix</t>
  </si>
  <si>
    <t>• Long-end rates • Bank term funding costs • Credit curve slope</t>
  </si>
  <si>
    <t>• Switch to shorter tenor if curve steepens</t>
  </si>
  <si>
    <t>• Credit curve positioning within one issuer</t>
  </si>
  <si>
    <t>Sanofi 2038</t>
  </si>
  <si>
    <t>Sanofi S.A - 1.875% - Mar 2038
FR-SNY-1.875-21032038</t>
  </si>
  <si>
    <r>
      <rPr>
        <b/>
        <sz val="11"/>
        <color rgb="FF000000"/>
        <rFont val="Calibri"/>
      </rPr>
      <t xml:space="preserve">Sanofi 1.875% Mar-2038
Investment Thesis
</t>
    </r>
    <r>
      <rPr>
        <sz val="11"/>
        <color rgb="FF000000"/>
        <rFont val="Calibri"/>
      </rPr>
      <t xml:space="preserve">Defensive healthcare IG
Stable earnings and low cyclicality
</t>
    </r>
    <r>
      <rPr>
        <b/>
        <sz val="11"/>
        <color rgb="FF000000"/>
        <rFont val="Calibri"/>
      </rPr>
      <t xml:space="preserve">
Role in Portfolio
</t>
    </r>
    <r>
      <rPr>
        <sz val="11"/>
        <color rgb="FF000000"/>
        <rFont val="Calibri"/>
      </rPr>
      <t xml:space="preserve">Non-tech IG diversifier
</t>
    </r>
    <r>
      <rPr>
        <b/>
        <sz val="11"/>
        <color rgb="FF000000"/>
        <rFont val="Calibri"/>
      </rPr>
      <t xml:space="preserve">
Sizing Logic
</t>
    </r>
    <r>
      <rPr>
        <sz val="11"/>
        <color rgb="FF000000"/>
        <rFont val="Calibri"/>
      </rPr>
      <t xml:space="preserve">€7k satellite allocation
</t>
    </r>
    <r>
      <rPr>
        <b/>
        <sz val="11"/>
        <color rgb="FF000000"/>
        <rFont val="Calibri"/>
      </rPr>
      <t xml:space="preserve">
Expected Return
</t>
    </r>
    <r>
      <rPr>
        <sz val="11"/>
        <color rgb="FF000000"/>
        <rFont val="Calibri"/>
      </rPr>
      <t xml:space="preserve">Duration + stability premium
</t>
    </r>
    <r>
      <rPr>
        <b/>
        <sz val="11"/>
        <color rgb="FF000000"/>
        <rFont val="Calibri"/>
      </rPr>
      <t xml:space="preserve">
Monitoring
</t>
    </r>
    <r>
      <rPr>
        <sz val="11"/>
        <color rgb="FF000000"/>
        <rFont val="Calibri"/>
      </rPr>
      <t>Pipeline, regulatory updates</t>
    </r>
  </si>
  <si>
    <t>• Defensive healthcare IG • Low business cyclicality • EUR duration diversifier</t>
  </si>
  <si>
    <t>• Drug pipeline updates • Litigation risk • EUR credit spreads</t>
  </si>
  <si>
    <t>• Trim if valuation richens • Exit on adverse clinical events</t>
  </si>
  <si>
    <t>• Stability of healthcare credit through cycles</t>
  </si>
  <si>
    <t>TotalEnergies 2039</t>
  </si>
  <si>
    <t>TotalEnergies Capital Intl. - 1.535% - May 2039
FR-TTE-1.535-31052039</t>
  </si>
  <si>
    <r>
      <rPr>
        <b/>
        <sz val="11"/>
        <color rgb="FF000000"/>
        <rFont val="Calibri"/>
      </rPr>
      <t xml:space="preserve">TotalEnergies 1.535% May-2039
Investment Thesis
</t>
    </r>
    <r>
      <rPr>
        <sz val="11"/>
        <color rgb="FF000000"/>
        <rFont val="Calibri"/>
      </rPr>
      <t xml:space="preserve">Integrated energy major with strong balance sheet
Long-dated IG exposure
</t>
    </r>
    <r>
      <rPr>
        <b/>
        <sz val="11"/>
        <color rgb="FF000000"/>
        <rFont val="Calibri"/>
      </rPr>
      <t xml:space="preserve">
Role in Portfolio
</t>
    </r>
    <r>
      <rPr>
        <sz val="11"/>
        <color rgb="FF000000"/>
        <rFont val="Calibri"/>
      </rPr>
      <t xml:space="preserve">Energy transition-linked IG credit
</t>
    </r>
    <r>
      <rPr>
        <b/>
        <sz val="11"/>
        <color rgb="FF000000"/>
        <rFont val="Calibri"/>
      </rPr>
      <t xml:space="preserve">
Sizing Logic
</t>
    </r>
    <r>
      <rPr>
        <sz val="11"/>
        <color rgb="FF000000"/>
        <rFont val="Calibri"/>
      </rPr>
      <t xml:space="preserve">€5k small allocation due to low coupon
</t>
    </r>
    <r>
      <rPr>
        <b/>
        <sz val="11"/>
        <color rgb="FF000000"/>
        <rFont val="Calibri"/>
      </rPr>
      <t xml:space="preserve">
Expected Return
</t>
    </r>
    <r>
      <rPr>
        <sz val="11"/>
        <color rgb="FF000000"/>
        <rFont val="Calibri"/>
      </rPr>
      <t xml:space="preserve">Rate-driven price appreciation
</t>
    </r>
    <r>
      <rPr>
        <b/>
        <sz val="11"/>
        <color rgb="FF000000"/>
        <rFont val="Calibri"/>
      </rPr>
      <t xml:space="preserve">
Monitoring
</t>
    </r>
    <r>
      <rPr>
        <sz val="11"/>
        <color rgb="FF000000"/>
        <rFont val="Calibri"/>
      </rPr>
      <t>Energy prices, capex discipline</t>
    </r>
  </si>
  <si>
    <t>• Energy major with strong FCF • Transition risk priced conservatively • Long-dated IG carry</t>
  </si>
  <si>
    <t>• Oil &amp; gas prices • Energy transition capex • Credit leverage</t>
  </si>
  <si>
    <t>• Reduce if energy cycle peaks • Exit on leverage deterioration</t>
  </si>
  <si>
    <t>• Energy credit vs commodity volatility</t>
  </si>
  <si>
    <t>Tactical Cash (10% = €30,000)</t>
  </si>
  <si>
    <r>
      <rPr>
        <b/>
        <sz val="11"/>
        <color rgb="FF000000"/>
        <rFont val="Calibri"/>
      </rPr>
      <t xml:space="preserve">Tactical Cash — €30,000（10%）
Investment Thesis
</t>
    </r>
    <r>
      <rPr>
        <sz val="11"/>
        <color rgb="FF000000"/>
        <rFont val="Calibri"/>
      </rPr>
      <t xml:space="preserve">Maintains optionality to exploit volatility-driven mispricings.
</t>
    </r>
    <r>
      <rPr>
        <b/>
        <sz val="11"/>
        <color rgb="FF000000"/>
        <rFont val="Calibri"/>
      </rPr>
      <t xml:space="preserve">
Role in Portfolio
</t>
    </r>
    <r>
      <rPr>
        <sz val="11"/>
        <color rgb="FF000000"/>
        <rFont val="Calibri"/>
      </rPr>
      <t xml:space="preserve">Liquidity buffer and tactical deployment capital.
</t>
    </r>
    <r>
      <rPr>
        <b/>
        <sz val="11"/>
        <color rgb="FF000000"/>
        <rFont val="Calibri"/>
      </rPr>
      <t xml:space="preserve">
Sizing Logic
</t>
    </r>
    <r>
      <rPr>
        <sz val="11"/>
        <color rgb="FF000000"/>
        <rFont val="Calibri"/>
      </rPr>
      <t xml:space="preserve">10% ensures flexibility without diluting structural positions.
</t>
    </r>
    <r>
      <rPr>
        <b/>
        <sz val="11"/>
        <color rgb="FF000000"/>
        <rFont val="Calibri"/>
      </rPr>
      <t xml:space="preserve">
Expected Return Sources
</t>
    </r>
    <r>
      <rPr>
        <sz val="11"/>
        <color rgb="FF000000"/>
        <rFont val="Calibri"/>
      </rPr>
      <t xml:space="preserve">Optionality rather than yield
</t>
    </r>
    <r>
      <rPr>
        <b/>
        <sz val="11"/>
        <color rgb="FF000000"/>
        <rFont val="Calibri"/>
      </rPr>
      <t xml:space="preserve">
Monitoring &amp; Exit Triggers
</t>
    </r>
    <r>
      <rPr>
        <sz val="11"/>
        <color rgb="FF000000"/>
        <rFont val="Calibri"/>
      </rPr>
      <t>Market stress events
Forced selling in credit or rates markets</t>
    </r>
  </si>
  <si>
    <t>Optionality &amp; flexibility</t>
  </si>
  <si>
    <t>After CPI, Fed/ECB, spread shocks</t>
  </si>
  <si>
    <t>Liquidity as a portfolio tool</t>
  </si>
  <si>
    <r>
      <t>German Bund 1.250% 15-Nov-2048
Investment Thesis</t>
    </r>
    <r>
      <rPr>
        <sz val="11"/>
        <color rgb="FF000000"/>
        <rFont val="Calibri"/>
        <charset val="1"/>
      </rPr>
      <t xml:space="preserve">
Core EUR ultra-long sovereign duration exposure
Beneficiary of ECB easing cycle and long-end rate compression</t>
    </r>
    <r>
      <rPr>
        <b/>
        <sz val="11"/>
        <color rgb="FF000000"/>
        <rFont val="Calibri"/>
        <charset val="1"/>
      </rPr>
      <t xml:space="preserve">
Role in Portfolio</t>
    </r>
    <r>
      <rPr>
        <sz val="11"/>
        <color rgb="FF000000"/>
        <rFont val="Calibri"/>
        <charset val="1"/>
      </rPr>
      <t xml:space="preserve">
EUR risk-free duration anchor
Balances credit and USD exposure</t>
    </r>
    <r>
      <rPr>
        <b/>
        <sz val="11"/>
        <color rgb="FF000000"/>
        <rFont val="Calibri"/>
        <charset val="1"/>
      </rPr>
      <t xml:space="preserve">
Sizing Logic</t>
    </r>
    <r>
      <rPr>
        <sz val="11"/>
        <color rgb="FF000000"/>
        <rFont val="Calibri"/>
        <charset val="1"/>
      </rPr>
      <t xml:space="preserve">
€15k as half-size relative to US Treasury due to lower yield/convexity</t>
    </r>
    <r>
      <rPr>
        <b/>
        <sz val="11"/>
        <color rgb="FF000000"/>
        <rFont val="Calibri"/>
        <charset val="1"/>
      </rPr>
      <t xml:space="preserve">
Expected Return</t>
    </r>
    <r>
      <rPr>
        <sz val="11"/>
        <color rgb="FF000000"/>
        <rFont val="Calibri"/>
        <charset val="1"/>
      </rPr>
      <t xml:space="preserve">
Capital gains from long-end yield decline
Convexity in recession / risk-off scenarios</t>
    </r>
    <r>
      <rPr>
        <b/>
        <sz val="11"/>
        <color rgb="FF000000"/>
        <rFont val="Calibri"/>
        <charset val="1"/>
      </rPr>
      <t xml:space="preserve">
Monitoring</t>
    </r>
    <r>
      <rPr>
        <sz val="11"/>
        <color rgb="FF000000"/>
        <rFont val="Calibri"/>
        <charset val="1"/>
      </rPr>
      <t xml:space="preserve">
ECB policy path, EUR inflation expectations, 30Y Bund yield</t>
    </r>
  </si>
  <si>
    <r>
      <t>French OAT 3.250% 25-May-2045
Investment Thesis</t>
    </r>
    <r>
      <rPr>
        <sz val="11"/>
        <color rgb="FF000000"/>
        <rFont val="Calibri"/>
        <charset val="1"/>
      </rPr>
      <t xml:space="preserve">
Long EUR duration with positive carry vs Bund
Capture term premium in semi-core sovereign</t>
    </r>
    <r>
      <rPr>
        <b/>
        <sz val="11"/>
        <color rgb="FF000000"/>
        <rFont val="Calibri"/>
        <charset val="1"/>
      </rPr>
      <t xml:space="preserve">
Role in Portfolio</t>
    </r>
    <r>
      <rPr>
        <sz val="11"/>
        <color rgb="FF000000"/>
        <rFont val="Calibri"/>
        <charset val="1"/>
      </rPr>
      <t xml:space="preserve">
Yield-enhanced EUR duration
Diversifies pure core-Bund exposure</t>
    </r>
    <r>
      <rPr>
        <b/>
        <sz val="11"/>
        <color rgb="FF000000"/>
        <rFont val="Calibri"/>
        <charset val="1"/>
      </rPr>
      <t xml:space="preserve">
Sizing Logic</t>
    </r>
    <r>
      <rPr>
        <sz val="11"/>
        <color rgb="FF000000"/>
        <rFont val="Calibri"/>
        <charset val="1"/>
      </rPr>
      <t xml:space="preserve">
€15k symmetric allocation vs Bund</t>
    </r>
    <r>
      <rPr>
        <b/>
        <sz val="11"/>
        <color rgb="FF000000"/>
        <rFont val="Calibri"/>
        <charset val="1"/>
      </rPr>
      <t xml:space="preserve">
Expected Return</t>
    </r>
    <r>
      <rPr>
        <sz val="11"/>
        <color rgb="FF000000"/>
        <rFont val="Calibri"/>
        <charset val="1"/>
      </rPr>
      <t xml:space="preserve">
Carry + moderate spread tightening vs Germany</t>
    </r>
    <r>
      <rPr>
        <b/>
        <sz val="11"/>
        <color rgb="FF000000"/>
        <rFont val="Calibri"/>
        <charset val="1"/>
      </rPr>
      <t xml:space="preserve">
Monitoring</t>
    </r>
    <r>
      <rPr>
        <sz val="11"/>
        <color rgb="FF000000"/>
        <rFont val="Calibri"/>
        <charset val="1"/>
      </rPr>
      <t xml:space="preserve">
OAT-Bund spread, French fiscal signals</t>
    </r>
  </si>
  <si>
    <r>
      <t>Microsoft 2039 — €21,000（7%）
Investment Thesis</t>
    </r>
    <r>
      <rPr>
        <sz val="11"/>
        <color rgb="FF000000"/>
        <rFont val="Calibri"/>
        <charset val="1"/>
      </rPr>
      <t xml:space="preserve">
High-quality IG credit combining strong balance sheet, recurring cash flows, and meaningful long-duration exposure.</t>
    </r>
    <r>
      <rPr>
        <b/>
        <sz val="11"/>
        <color rgb="FF000000"/>
        <rFont val="Calibri"/>
        <charset val="1"/>
      </rPr>
      <t xml:space="preserve">
Role in Portfolio</t>
    </r>
    <r>
      <rPr>
        <sz val="11"/>
        <color rgb="FF000000"/>
        <rFont val="Calibri"/>
        <charset val="1"/>
      </rPr>
      <t xml:space="preserve">
Long-duration IG credit stabilizer with lower default and downgrade risk.</t>
    </r>
    <r>
      <rPr>
        <b/>
        <sz val="11"/>
        <color rgb="FF000000"/>
        <rFont val="Calibri"/>
        <charset val="1"/>
      </rPr>
      <t xml:space="preserve">
Sizing Logic</t>
    </r>
    <r>
      <rPr>
        <sz val="11"/>
        <color rgb="FF000000"/>
        <rFont val="Calibri"/>
        <charset val="1"/>
      </rPr>
      <t xml:space="preserve">
Core IG exposure sized larger than other corporates due to superior credit quality and liquidity.</t>
    </r>
    <r>
      <rPr>
        <b/>
        <sz val="11"/>
        <color rgb="FF000000"/>
        <rFont val="Calibri"/>
        <charset val="1"/>
      </rPr>
      <t xml:space="preserve">
Expected Return Sources</t>
    </r>
    <r>
      <rPr>
        <sz val="11"/>
        <color rgb="FF000000"/>
        <rFont val="Calibri"/>
        <charset val="1"/>
      </rPr>
      <t xml:space="preserve">
Coupon carry
Spread stability or modest tightening
Rate-driven price appreciation</t>
    </r>
    <r>
      <rPr>
        <b/>
        <sz val="11"/>
        <color rgb="FF000000"/>
        <rFont val="Calibri"/>
        <charset val="1"/>
      </rPr>
      <t xml:space="preserve">
Key Risks &amp; Mitigants</t>
    </r>
    <r>
      <rPr>
        <sz val="11"/>
        <color rgb="FF000000"/>
        <rFont val="Calibri"/>
        <charset val="1"/>
      </rPr>
      <t xml:space="preserve">
Risk: Valuation compression if tech spreads widen
Mitigant: Paired with sovereign duration and non-tech IG exposure</t>
    </r>
    <r>
      <rPr>
        <b/>
        <sz val="11"/>
        <color rgb="FF000000"/>
        <rFont val="Calibri"/>
        <charset val="1"/>
      </rPr>
      <t xml:space="preserve">
Monitoring &amp; Exit Triggers</t>
    </r>
    <r>
      <rPr>
        <sz val="11"/>
        <color rgb="FF000000"/>
        <rFont val="Calibri"/>
        <charset val="1"/>
      </rPr>
      <t xml:space="preserve">
Net debt / EBITDA trends
Regulatory pressure on big tech
Reduce if leverage policy materially changes</t>
    </r>
  </si>
  <si>
    <r>
      <t>Apple 1.700% Aug-2031
Investment Thesis</t>
    </r>
    <r>
      <rPr>
        <sz val="11"/>
        <color rgb="FF000000"/>
        <rFont val="Calibri"/>
        <charset val="1"/>
      </rPr>
      <t xml:space="preserve">
Ultra-high-quality IG with minimal default risk
Duration exposure with defensive profile</t>
    </r>
    <r>
      <rPr>
        <b/>
        <sz val="11"/>
        <color rgb="FF000000"/>
        <rFont val="Calibri"/>
        <charset val="1"/>
      </rPr>
      <t xml:space="preserve">
Role in Portfolio</t>
    </r>
    <r>
      <rPr>
        <sz val="11"/>
        <color rgb="FF000000"/>
        <rFont val="Calibri"/>
        <charset val="1"/>
      </rPr>
      <t xml:space="preserve">
Stability anchor within credit sleeve</t>
    </r>
    <r>
      <rPr>
        <b/>
        <sz val="11"/>
        <color rgb="FF000000"/>
        <rFont val="Calibri"/>
        <charset val="1"/>
      </rPr>
      <t xml:space="preserve">
Sizing Logic</t>
    </r>
    <r>
      <rPr>
        <sz val="11"/>
        <color rgb="FF000000"/>
        <rFont val="Calibri"/>
        <charset val="1"/>
      </rPr>
      <t xml:space="preserve">
$21k balanced vs Microsoft</t>
    </r>
    <r>
      <rPr>
        <b/>
        <sz val="11"/>
        <color rgb="FF000000"/>
        <rFont val="Calibri"/>
        <charset val="1"/>
      </rPr>
      <t xml:space="preserve">
Expected Return</t>
    </r>
    <r>
      <rPr>
        <sz val="11"/>
        <color rgb="FF000000"/>
        <rFont val="Calibri"/>
        <charset val="1"/>
      </rPr>
      <t xml:space="preserve">
Price sensitivity to rates, not credit</t>
    </r>
    <r>
      <rPr>
        <b/>
        <sz val="11"/>
        <color rgb="FF000000"/>
        <rFont val="Calibri"/>
        <charset val="1"/>
      </rPr>
      <t xml:space="preserve">
Monitoring</t>
    </r>
    <r>
      <rPr>
        <sz val="11"/>
        <color rgb="FF000000"/>
        <rFont val="Calibri"/>
        <charset val="1"/>
      </rPr>
      <t xml:space="preserve">
Rate environment, Apple balance sheet strength</t>
    </r>
  </si>
  <si>
    <r>
      <t>ASML 2.250% May-2032
Investment Thesis</t>
    </r>
    <r>
      <rPr>
        <sz val="11"/>
        <color rgb="FF000000"/>
        <rFont val="Calibri"/>
        <charset val="1"/>
      </rPr>
      <t xml:space="preserve">
Strategic semiconductor monopoly credit
Strong pricing power and structural demand</t>
    </r>
    <r>
      <rPr>
        <b/>
        <sz val="11"/>
        <color rgb="FF000000"/>
        <rFont val="Calibri"/>
        <charset val="1"/>
      </rPr>
      <t xml:space="preserve">
Role in Portfolio</t>
    </r>
    <r>
      <rPr>
        <sz val="11"/>
        <color rgb="FF000000"/>
        <rFont val="Calibri"/>
        <charset val="1"/>
      </rPr>
      <t xml:space="preserve">
Cyclical IG tech diversifier</t>
    </r>
    <r>
      <rPr>
        <b/>
        <sz val="11"/>
        <color rgb="FF000000"/>
        <rFont val="Calibri"/>
        <charset val="1"/>
      </rPr>
      <t xml:space="preserve">
Sizing Logic</t>
    </r>
    <r>
      <rPr>
        <sz val="11"/>
        <color rgb="FF000000"/>
        <rFont val="Calibri"/>
        <charset val="1"/>
      </rPr>
      <t xml:space="preserve">
€18k due to shorter tenor and EUR exposure</t>
    </r>
    <r>
      <rPr>
        <b/>
        <sz val="11"/>
        <color rgb="FF000000"/>
        <rFont val="Calibri"/>
        <charset val="1"/>
      </rPr>
      <t xml:space="preserve">
Expected Return</t>
    </r>
    <r>
      <rPr>
        <sz val="11"/>
        <color rgb="FF000000"/>
        <rFont val="Calibri"/>
        <charset val="1"/>
      </rPr>
      <t xml:space="preserve">
Carry + credit spread stability</t>
    </r>
    <r>
      <rPr>
        <b/>
        <sz val="11"/>
        <color rgb="FF000000"/>
        <rFont val="Calibri"/>
        <charset val="1"/>
      </rPr>
      <t xml:space="preserve">
Monitoring</t>
    </r>
    <r>
      <rPr>
        <sz val="11"/>
        <color rgb="FF000000"/>
        <rFont val="Calibri"/>
        <charset val="1"/>
      </rPr>
      <t xml:space="preserve">
Semiconductor cycle, geopolitics</t>
    </r>
  </si>
  <si>
    <r>
      <t>Ford 7.500% Aug-2026
Investment Thesis</t>
    </r>
    <r>
      <rPr>
        <sz val="11"/>
        <color rgb="FF000000"/>
        <rFont val="Calibri"/>
        <charset val="1"/>
      </rPr>
      <t xml:space="preserve">
Fallen angel HY with near-term maturity
High carry with refinancing optionality</t>
    </r>
    <r>
      <rPr>
        <b/>
        <sz val="11"/>
        <color rgb="FF000000"/>
        <rFont val="Calibri"/>
        <charset val="1"/>
      </rPr>
      <t xml:space="preserve">
Role in Portfolio</t>
    </r>
    <r>
      <rPr>
        <sz val="11"/>
        <color rgb="FF000000"/>
        <rFont val="Calibri"/>
        <charset val="1"/>
      </rPr>
      <t xml:space="preserve">
Short-dated HY carry play</t>
    </r>
    <r>
      <rPr>
        <b/>
        <sz val="11"/>
        <color rgb="FF000000"/>
        <rFont val="Calibri"/>
        <charset val="1"/>
      </rPr>
      <t xml:space="preserve">
Sizing Logic</t>
    </r>
    <r>
      <rPr>
        <sz val="11"/>
        <color rgb="FF000000"/>
        <rFont val="Calibri"/>
        <charset val="1"/>
      </rPr>
      <t xml:space="preserve">
$18k limited tenor risk</t>
    </r>
    <r>
      <rPr>
        <b/>
        <sz val="11"/>
        <color rgb="FF000000"/>
        <rFont val="Calibri"/>
        <charset val="1"/>
      </rPr>
      <t xml:space="preserve">
Expected Return</t>
    </r>
    <r>
      <rPr>
        <sz val="11"/>
        <color rgb="FF000000"/>
        <rFont val="Calibri"/>
        <charset val="1"/>
      </rPr>
      <t xml:space="preserve">
Coupon income + pull-to-par</t>
    </r>
    <r>
      <rPr>
        <b/>
        <sz val="11"/>
        <color rgb="FF000000"/>
        <rFont val="Calibri"/>
        <charset val="1"/>
      </rPr>
      <t xml:space="preserve">
Monitoring</t>
    </r>
    <r>
      <rPr>
        <sz val="11"/>
        <color rgb="FF000000"/>
        <rFont val="Calibri"/>
        <charset val="1"/>
      </rPr>
      <t xml:space="preserve">
Auto demand, refinancing progress</t>
    </r>
  </si>
  <si>
    <r>
      <t>Kraft Heinz 6.500% Feb-2040
Investment Thesis</t>
    </r>
    <r>
      <rPr>
        <sz val="11"/>
        <color rgb="FF000000"/>
        <rFont val="Calibri"/>
        <charset val="1"/>
      </rPr>
      <t xml:space="preserve">
Defensive consumer staples HY
Stable cash flows support long-dated debt</t>
    </r>
    <r>
      <rPr>
        <b/>
        <sz val="11"/>
        <color rgb="FF000000"/>
        <rFont val="Calibri"/>
        <charset val="1"/>
      </rPr>
      <t xml:space="preserve">
Role in Portfolio</t>
    </r>
    <r>
      <rPr>
        <sz val="11"/>
        <color rgb="FF000000"/>
        <rFont val="Calibri"/>
        <charset val="1"/>
      </rPr>
      <t xml:space="preserve">
HY income stabilizer</t>
    </r>
    <r>
      <rPr>
        <b/>
        <sz val="11"/>
        <color rgb="FF000000"/>
        <rFont val="Calibri"/>
        <charset val="1"/>
      </rPr>
      <t xml:space="preserve">
Sizing Logic</t>
    </r>
    <r>
      <rPr>
        <sz val="11"/>
        <color rgb="FF000000"/>
        <rFont val="Calibri"/>
        <charset val="1"/>
      </rPr>
      <t xml:space="preserve">
$18k symmetric with Ford</t>
    </r>
    <r>
      <rPr>
        <b/>
        <sz val="11"/>
        <color rgb="FF000000"/>
        <rFont val="Calibri"/>
        <charset val="1"/>
      </rPr>
      <t xml:space="preserve">
Expected Return</t>
    </r>
    <r>
      <rPr>
        <sz val="11"/>
        <color rgb="FF000000"/>
        <rFont val="Calibri"/>
        <charset val="1"/>
      </rPr>
      <t xml:space="preserve">
High carry + gradual spread normalization</t>
    </r>
    <r>
      <rPr>
        <b/>
        <sz val="11"/>
        <color rgb="FF000000"/>
        <rFont val="Calibri"/>
        <charset val="1"/>
      </rPr>
      <t xml:space="preserve">
Monitoring</t>
    </r>
    <r>
      <rPr>
        <sz val="11"/>
        <color rgb="FF000000"/>
        <rFont val="Calibri"/>
        <charset val="1"/>
      </rPr>
      <t xml:space="preserve">
Leverage metrics, pricing power</t>
    </r>
  </si>
  <si>
    <r>
      <t>Altria 9.95% Nov-2038
Investment Thesis</t>
    </r>
    <r>
      <rPr>
        <sz val="11"/>
        <color rgb="FF000000"/>
        <rFont val="Calibri"/>
        <charset val="1"/>
      </rPr>
      <t xml:space="preserve">
Very high cash-flow tobacco credit
Regulatory risk priced into yield</t>
    </r>
    <r>
      <rPr>
        <b/>
        <sz val="11"/>
        <color rgb="FF000000"/>
        <rFont val="Calibri"/>
        <charset val="1"/>
      </rPr>
      <t xml:space="preserve">
Role in Portfolio</t>
    </r>
    <r>
      <rPr>
        <sz val="11"/>
        <color rgb="FF000000"/>
        <rFont val="Calibri"/>
        <charset val="1"/>
      </rPr>
      <t xml:space="preserve">
Core HY income engine</t>
    </r>
    <r>
      <rPr>
        <b/>
        <sz val="11"/>
        <color rgb="FF000000"/>
        <rFont val="Calibri"/>
        <charset val="1"/>
      </rPr>
      <t xml:space="preserve">
Sizing Logic</t>
    </r>
    <r>
      <rPr>
        <sz val="11"/>
        <color rgb="FF000000"/>
        <rFont val="Calibri"/>
        <charset val="1"/>
      </rPr>
      <t xml:space="preserve">
$15k due to regulatory tail risk</t>
    </r>
    <r>
      <rPr>
        <b/>
        <sz val="11"/>
        <color rgb="FF000000"/>
        <rFont val="Calibri"/>
        <charset val="1"/>
      </rPr>
      <t xml:space="preserve">
Expected Return</t>
    </r>
    <r>
      <rPr>
        <sz val="11"/>
        <color rgb="FF000000"/>
        <rFont val="Calibri"/>
        <charset val="1"/>
      </rPr>
      <t xml:space="preserve">
Coupon-driven total return</t>
    </r>
    <r>
      <rPr>
        <b/>
        <sz val="11"/>
        <color rgb="FF000000"/>
        <rFont val="Calibri"/>
        <charset val="1"/>
      </rPr>
      <t xml:space="preserve">
Monitoring</t>
    </r>
    <r>
      <rPr>
        <sz val="11"/>
        <color rgb="FF000000"/>
        <rFont val="Calibri"/>
        <charset val="1"/>
      </rPr>
      <t xml:space="preserve">
Regulation, payout sustainability</t>
    </r>
  </si>
  <si>
    <r>
      <t>Philip Morris 6.375% May-2038
Investment Thesis</t>
    </r>
    <r>
      <rPr>
        <sz val="11"/>
        <color rgb="FF000000"/>
        <rFont val="Calibri"/>
        <charset val="1"/>
      </rPr>
      <t xml:space="preserve">
Global tobacco with diversification vs Altria
Lower regulatory concentration risk</t>
    </r>
    <r>
      <rPr>
        <b/>
        <sz val="11"/>
        <color rgb="FF000000"/>
        <rFont val="Calibri"/>
        <charset val="1"/>
      </rPr>
      <t xml:space="preserve">
Role in Portfolio</t>
    </r>
    <r>
      <rPr>
        <sz val="11"/>
        <color rgb="FF000000"/>
        <rFont val="Calibri"/>
        <charset val="1"/>
      </rPr>
      <t xml:space="preserve">
Complementary HY cash-flow exposure</t>
    </r>
    <r>
      <rPr>
        <b/>
        <sz val="11"/>
        <color rgb="FF000000"/>
        <rFont val="Calibri"/>
        <charset val="1"/>
      </rPr>
      <t xml:space="preserve">
Sizing Logic</t>
    </r>
    <r>
      <rPr>
        <sz val="11"/>
        <color rgb="FF000000"/>
        <rFont val="Calibri"/>
        <charset val="1"/>
      </rPr>
      <t xml:space="preserve">
$15k paired with Altria</t>
    </r>
    <r>
      <rPr>
        <b/>
        <sz val="11"/>
        <color rgb="FF000000"/>
        <rFont val="Calibri"/>
        <charset val="1"/>
      </rPr>
      <t xml:space="preserve">
Expected Return</t>
    </r>
    <r>
      <rPr>
        <sz val="11"/>
        <color rgb="FF000000"/>
        <rFont val="Calibri"/>
        <charset val="1"/>
      </rPr>
      <t xml:space="preserve">
Carry + credit stability</t>
    </r>
    <r>
      <rPr>
        <b/>
        <sz val="11"/>
        <color rgb="FF000000"/>
        <rFont val="Calibri"/>
        <charset val="1"/>
      </rPr>
      <t xml:space="preserve">
Monitoring</t>
    </r>
    <r>
      <rPr>
        <sz val="11"/>
        <color rgb="FF000000"/>
        <rFont val="Calibri"/>
        <charset val="1"/>
      </rPr>
      <t xml:space="preserve">
Reduced-risk product transition</t>
    </r>
  </si>
  <si>
    <r>
      <t>Boeing 2043 — €15,000（5%）
Investment Thesis</t>
    </r>
    <r>
      <rPr>
        <sz val="11"/>
        <color rgb="FF000000"/>
        <rFont val="Calibri"/>
        <charset val="1"/>
      </rPr>
      <t xml:space="preserve">
Event-driven high yield exposure linked to operational normalization and delivery recovery.</t>
    </r>
    <r>
      <rPr>
        <b/>
        <sz val="11"/>
        <color rgb="FF000000"/>
        <rFont val="Calibri"/>
        <charset val="1"/>
      </rPr>
      <t xml:space="preserve">
Role in Portfolio</t>
    </r>
    <r>
      <rPr>
        <sz val="11"/>
        <color rgb="FF000000"/>
        <rFont val="Calibri"/>
        <charset val="1"/>
      </rPr>
      <t xml:space="preserve">
Return enhancer with asymmetric upside from credit spread compression.</t>
    </r>
    <r>
      <rPr>
        <b/>
        <sz val="11"/>
        <color rgb="FF000000"/>
        <rFont val="Calibri"/>
        <charset val="1"/>
      </rPr>
      <t xml:space="preserve">
Sizing Logic</t>
    </r>
    <r>
      <rPr>
        <sz val="11"/>
        <color rgb="FF000000"/>
        <rFont val="Calibri"/>
        <charset val="1"/>
      </rPr>
      <t xml:space="preserve">
Capped at 5% due to idiosyncratic operational and regulatory risks.</t>
    </r>
    <r>
      <rPr>
        <b/>
        <sz val="11"/>
        <color rgb="FF000000"/>
        <rFont val="Calibri"/>
        <charset val="1"/>
      </rPr>
      <t xml:space="preserve">
Expected Return Sources</t>
    </r>
    <r>
      <rPr>
        <sz val="11"/>
        <color rgb="FF000000"/>
        <rFont val="Calibri"/>
        <charset val="1"/>
      </rPr>
      <t xml:space="preserve">
High coupon carry
Spread tightening upon resolution of production and safety issues</t>
    </r>
    <r>
      <rPr>
        <b/>
        <sz val="11"/>
        <color rgb="FF000000"/>
        <rFont val="Calibri"/>
        <charset val="1"/>
      </rPr>
      <t xml:space="preserve">
Key Risks &amp; Mitigants</t>
    </r>
    <r>
      <rPr>
        <sz val="11"/>
        <color rgb="FF000000"/>
        <rFont val="Calibri"/>
        <charset val="1"/>
      </rPr>
      <t xml:space="preserve">
Risk: New safety incidents or delivery halts
Mitigant: Limited sizing and diversification across HY bucket</t>
    </r>
    <r>
      <rPr>
        <b/>
        <sz val="11"/>
        <color rgb="FF000000"/>
        <rFont val="Calibri"/>
        <charset val="1"/>
      </rPr>
      <t xml:space="preserve">
Monitoring &amp; Exit Triggers</t>
    </r>
    <r>
      <rPr>
        <sz val="11"/>
        <color rgb="FF000000"/>
        <rFont val="Calibri"/>
        <charset val="1"/>
      </rPr>
      <t xml:space="preserve">
FAA approvals
Aircraft delivery schedules
Exit if operational setbacks re-emerge</t>
    </r>
  </si>
  <si>
    <r>
      <t>US Steel 6.875% Mar-2029
Investment Thesis</t>
    </r>
    <r>
      <rPr>
        <sz val="11"/>
        <color rgb="FF000000"/>
        <rFont val="Calibri"/>
        <charset val="1"/>
      </rPr>
      <t xml:space="preserve">
Short-dated cyclical commodity credit
High carry with limited duration risk</t>
    </r>
    <r>
      <rPr>
        <b/>
        <sz val="11"/>
        <color rgb="FF000000"/>
        <rFont val="Calibri"/>
        <charset val="1"/>
      </rPr>
      <t xml:space="preserve">
Role in Portfolio</t>
    </r>
    <r>
      <rPr>
        <sz val="11"/>
        <color rgb="FF000000"/>
        <rFont val="Calibri"/>
        <charset val="1"/>
      </rPr>
      <t xml:space="preserve">
Tactical HY cycle exposure</t>
    </r>
    <r>
      <rPr>
        <b/>
        <sz val="11"/>
        <color rgb="FF000000"/>
        <rFont val="Calibri"/>
        <charset val="1"/>
      </rPr>
      <t xml:space="preserve">
Sizing Logic</t>
    </r>
    <r>
      <rPr>
        <sz val="11"/>
        <color rgb="FF000000"/>
        <rFont val="Calibri"/>
        <charset val="1"/>
      </rPr>
      <t xml:space="preserve">
$9k small satellite position</t>
    </r>
    <r>
      <rPr>
        <b/>
        <sz val="11"/>
        <color rgb="FF000000"/>
        <rFont val="Calibri"/>
        <charset val="1"/>
      </rPr>
      <t xml:space="preserve">
Expected Return</t>
    </r>
    <r>
      <rPr>
        <sz val="11"/>
        <color rgb="FF000000"/>
        <rFont val="Calibri"/>
        <charset val="1"/>
      </rPr>
      <t xml:space="preserve">
Carry + pull-to-par</t>
    </r>
    <r>
      <rPr>
        <b/>
        <sz val="11"/>
        <color rgb="FF000000"/>
        <rFont val="Calibri"/>
        <charset val="1"/>
      </rPr>
      <t xml:space="preserve">
Monitoring</t>
    </r>
    <r>
      <rPr>
        <sz val="11"/>
        <color rgb="FF000000"/>
        <rFont val="Calibri"/>
        <charset val="1"/>
      </rPr>
      <t xml:space="preserve">
Steel prices, demand cycle</t>
    </r>
  </si>
  <si>
    <r>
      <t>Long BTP 2040 — €15,000（5%）
Investment Thesis</t>
    </r>
    <r>
      <rPr>
        <sz val="11"/>
        <color rgb="FF000000"/>
        <rFont val="Calibri"/>
        <charset val="1"/>
      </rPr>
      <t xml:space="preserve">
Relative value trade expressing convergence between Italian sovereign spreads and core EUR rates under ECB backstop.</t>
    </r>
    <r>
      <rPr>
        <b/>
        <sz val="11"/>
        <color rgb="FF000000"/>
        <rFont val="Calibri"/>
        <charset val="1"/>
      </rPr>
      <t xml:space="preserve">
Role in Portfolio</t>
    </r>
    <r>
      <rPr>
        <sz val="11"/>
        <color rgb="FF000000"/>
        <rFont val="Calibri"/>
        <charset val="1"/>
      </rPr>
      <t xml:space="preserve">
Spread trade rather than pure duration exposure.</t>
    </r>
    <r>
      <rPr>
        <b/>
        <sz val="11"/>
        <color rgb="FF000000"/>
        <rFont val="Calibri"/>
        <charset val="1"/>
      </rPr>
      <t xml:space="preserve">
Sizing Logic</t>
    </r>
    <r>
      <rPr>
        <sz val="11"/>
        <color rgb="FF000000"/>
        <rFont val="Calibri"/>
        <charset val="1"/>
      </rPr>
      <t xml:space="preserve">
Matched against Bund hedge to isolate spread movement.</t>
    </r>
    <r>
      <rPr>
        <b/>
        <sz val="11"/>
        <color rgb="FF000000"/>
        <rFont val="Calibri"/>
        <charset val="1"/>
      </rPr>
      <t xml:space="preserve">
Expected Return Sources</t>
    </r>
    <r>
      <rPr>
        <sz val="11"/>
        <color rgb="FF000000"/>
        <rFont val="Calibri"/>
        <charset val="1"/>
      </rPr>
      <t xml:space="preserve">
BTP–Bund spread compression
Carry advantage vs core sovereigns</t>
    </r>
    <r>
      <rPr>
        <b/>
        <sz val="11"/>
        <color rgb="FF000000"/>
        <rFont val="Calibri"/>
        <charset val="1"/>
      </rPr>
      <t xml:space="preserve">
Key Risks &amp; Mitigants</t>
    </r>
    <r>
      <rPr>
        <sz val="11"/>
        <color rgb="FF000000"/>
        <rFont val="Calibri"/>
        <charset val="1"/>
      </rPr>
      <t xml:space="preserve">
Risk: Italian fiscal slippage or political shock
Mitigant: Bund hedge neutralizes rate risk</t>
    </r>
    <r>
      <rPr>
        <b/>
        <sz val="11"/>
        <color rgb="FF000000"/>
        <rFont val="Calibri"/>
        <charset val="1"/>
      </rPr>
      <t xml:space="preserve">
Monitoring &amp; Exit Triggers</t>
    </r>
    <r>
      <rPr>
        <sz val="11"/>
        <color rgb="FF000000"/>
        <rFont val="Calibri"/>
        <charset val="1"/>
      </rPr>
      <t xml:space="preserve">
BTP–Bund spread levels
Italian budget announcements
ECB transmission protection signals</t>
    </r>
  </si>
  <si>
    <r>
      <t>Bund 4.750% Jul-2040 (Short / Hedge)
Investment Thesis</t>
    </r>
    <r>
      <rPr>
        <sz val="11"/>
        <color rgb="FF000000"/>
        <rFont val="Calibri"/>
        <charset val="1"/>
      </rPr>
      <t xml:space="preserve">
Hedge against EUR rate rise
Neutralizes duration in BTP leg</t>
    </r>
    <r>
      <rPr>
        <b/>
        <sz val="11"/>
        <color rgb="FF000000"/>
        <rFont val="Calibri"/>
        <charset val="1"/>
      </rPr>
      <t xml:space="preserve">
Role in Portfolio</t>
    </r>
    <r>
      <rPr>
        <sz val="11"/>
        <color rgb="FF000000"/>
        <rFont val="Calibri"/>
        <charset val="1"/>
      </rPr>
      <t xml:space="preserve">
Relative-value hedge leg</t>
    </r>
    <r>
      <rPr>
        <b/>
        <sz val="11"/>
        <color rgb="FF000000"/>
        <rFont val="Calibri"/>
        <charset val="1"/>
      </rPr>
      <t xml:space="preserve">
Sizing Logic</t>
    </r>
    <r>
      <rPr>
        <sz val="11"/>
        <color rgb="FF000000"/>
        <rFont val="Calibri"/>
        <charset val="1"/>
      </rPr>
      <t xml:space="preserve">
€15k matched notional</t>
    </r>
    <r>
      <rPr>
        <b/>
        <sz val="11"/>
        <color rgb="FF000000"/>
        <rFont val="Calibri"/>
        <charset val="1"/>
      </rPr>
      <t xml:space="preserve">
Expected Return</t>
    </r>
    <r>
      <rPr>
        <sz val="11"/>
        <color rgb="FF000000"/>
        <rFont val="Calibri"/>
        <charset val="1"/>
      </rPr>
      <t xml:space="preserve">
Relative performance vs BTP</t>
    </r>
    <r>
      <rPr>
        <b/>
        <sz val="11"/>
        <color rgb="FF000000"/>
        <rFont val="Calibri"/>
        <charset val="1"/>
      </rPr>
      <t xml:space="preserve">
Monitoring</t>
    </r>
    <r>
      <rPr>
        <sz val="11"/>
        <color rgb="FF000000"/>
        <rFont val="Calibri"/>
        <charset val="1"/>
      </rPr>
      <t xml:space="preserve">
BTP-Bund spread dynamics</t>
    </r>
  </si>
  <si>
    <r>
      <t>JPM 6.400% May-2038
Investment Thesis</t>
    </r>
    <r>
      <rPr>
        <sz val="11"/>
        <color rgb="FF000000"/>
        <rFont val="Calibri"/>
        <charset val="1"/>
      </rPr>
      <t xml:space="preserve">
High-quality US bank credit
Attractive yield vs peers</t>
    </r>
    <r>
      <rPr>
        <b/>
        <sz val="11"/>
        <color rgb="FF000000"/>
        <rFont val="Calibri"/>
        <charset val="1"/>
      </rPr>
      <t xml:space="preserve">
Role in Portfolio</t>
    </r>
    <r>
      <rPr>
        <sz val="11"/>
        <color rgb="FF000000"/>
        <rFont val="Calibri"/>
        <charset val="1"/>
      </rPr>
      <t xml:space="preserve">
Credit relative-value anchor</t>
    </r>
    <r>
      <rPr>
        <b/>
        <sz val="11"/>
        <color rgb="FF000000"/>
        <rFont val="Calibri"/>
        <charset val="1"/>
      </rPr>
      <t xml:space="preserve">
Sizing Logic</t>
    </r>
    <r>
      <rPr>
        <sz val="11"/>
        <color rgb="FF000000"/>
        <rFont val="Calibri"/>
        <charset val="1"/>
      </rPr>
      <t xml:space="preserve">
$10k core financial credit</t>
    </r>
    <r>
      <rPr>
        <b/>
        <sz val="11"/>
        <color rgb="FF000000"/>
        <rFont val="Calibri"/>
        <charset val="1"/>
      </rPr>
      <t xml:space="preserve">
Expected Return</t>
    </r>
    <r>
      <rPr>
        <sz val="11"/>
        <color rgb="FF000000"/>
        <rFont val="Calibri"/>
        <charset val="1"/>
      </rPr>
      <t xml:space="preserve">
Carry + modest spread tightening</t>
    </r>
    <r>
      <rPr>
        <b/>
        <sz val="11"/>
        <color rgb="FF000000"/>
        <rFont val="Calibri"/>
        <charset val="1"/>
      </rPr>
      <t xml:space="preserve">
Monitoring</t>
    </r>
    <r>
      <rPr>
        <sz val="11"/>
        <color rgb="FF000000"/>
        <rFont val="Calibri"/>
        <charset val="1"/>
      </rPr>
      <t xml:space="preserve">
Capital ratios, macro credit cycle</t>
    </r>
  </si>
  <si>
    <r>
      <t>JPM 5.500% Oct-2040
Investment Thesis</t>
    </r>
    <r>
      <rPr>
        <sz val="11"/>
        <color rgb="FF000000"/>
        <rFont val="Calibri"/>
        <charset val="1"/>
      </rPr>
      <t xml:space="preserve">
Longer-duration extension of JPM credit
Higher rate sensitivity</t>
    </r>
    <r>
      <rPr>
        <b/>
        <sz val="11"/>
        <color rgb="FF000000"/>
        <rFont val="Calibri"/>
        <charset val="1"/>
      </rPr>
      <t xml:space="preserve">
Role in Portfolio</t>
    </r>
    <r>
      <rPr>
        <sz val="11"/>
        <color rgb="FF000000"/>
        <rFont val="Calibri"/>
        <charset val="1"/>
      </rPr>
      <t xml:space="preserve">
Curve steepness exposure within issuer</t>
    </r>
    <r>
      <rPr>
        <b/>
        <sz val="11"/>
        <color rgb="FF000000"/>
        <rFont val="Calibri"/>
        <charset val="1"/>
      </rPr>
      <t xml:space="preserve">
Sizing Logic</t>
    </r>
    <r>
      <rPr>
        <sz val="11"/>
        <color rgb="FF000000"/>
        <rFont val="Calibri"/>
        <charset val="1"/>
      </rPr>
      <t xml:space="preserve">
$8k smaller size due to duration</t>
    </r>
    <r>
      <rPr>
        <b/>
        <sz val="11"/>
        <color rgb="FF000000"/>
        <rFont val="Calibri"/>
        <charset val="1"/>
      </rPr>
      <t xml:space="preserve">
Expected Return</t>
    </r>
    <r>
      <rPr>
        <sz val="11"/>
        <color rgb="FF000000"/>
        <rFont val="Calibri"/>
        <charset val="1"/>
      </rPr>
      <t xml:space="preserve">
Carry + curve-driven price gains</t>
    </r>
    <r>
      <rPr>
        <b/>
        <sz val="11"/>
        <color rgb="FF000000"/>
        <rFont val="Calibri"/>
        <charset val="1"/>
      </rPr>
      <t xml:space="preserve">
Monitoring</t>
    </r>
    <r>
      <rPr>
        <sz val="11"/>
        <color rgb="FF000000"/>
        <rFont val="Calibri"/>
        <charset val="1"/>
      </rPr>
      <t xml:space="preserve">
Long-end rates, bank regulation</t>
    </r>
  </si>
  <si>
    <r>
      <t>Sanofi 1.875% Mar-2038
Investment Thesis</t>
    </r>
    <r>
      <rPr>
        <sz val="11"/>
        <color rgb="FF000000"/>
        <rFont val="Calibri"/>
        <charset val="1"/>
      </rPr>
      <t xml:space="preserve">
Defensive healthcare IG
Stable earnings and low cyclicality</t>
    </r>
    <r>
      <rPr>
        <b/>
        <sz val="11"/>
        <color rgb="FF000000"/>
        <rFont val="Calibri"/>
        <charset val="1"/>
      </rPr>
      <t xml:space="preserve">
Role in Portfolio</t>
    </r>
    <r>
      <rPr>
        <sz val="11"/>
        <color rgb="FF000000"/>
        <rFont val="Calibri"/>
        <charset val="1"/>
      </rPr>
      <t xml:space="preserve">
Non-tech IG diversifier</t>
    </r>
    <r>
      <rPr>
        <b/>
        <sz val="11"/>
        <color rgb="FF000000"/>
        <rFont val="Calibri"/>
        <charset val="1"/>
      </rPr>
      <t xml:space="preserve">
Sizing Logic</t>
    </r>
    <r>
      <rPr>
        <sz val="11"/>
        <color rgb="FF000000"/>
        <rFont val="Calibri"/>
        <charset val="1"/>
      </rPr>
      <t xml:space="preserve">
€7k satellite allocation</t>
    </r>
    <r>
      <rPr>
        <b/>
        <sz val="11"/>
        <color rgb="FF000000"/>
        <rFont val="Calibri"/>
        <charset val="1"/>
      </rPr>
      <t xml:space="preserve">
Expected Return</t>
    </r>
    <r>
      <rPr>
        <sz val="11"/>
        <color rgb="FF000000"/>
        <rFont val="Calibri"/>
        <charset val="1"/>
      </rPr>
      <t xml:space="preserve">
Duration + stability premium</t>
    </r>
    <r>
      <rPr>
        <b/>
        <sz val="11"/>
        <color rgb="FF000000"/>
        <rFont val="Calibri"/>
        <charset val="1"/>
      </rPr>
      <t xml:space="preserve">
Monitoring</t>
    </r>
    <r>
      <rPr>
        <sz val="11"/>
        <color rgb="FF000000"/>
        <rFont val="Calibri"/>
        <charset val="1"/>
      </rPr>
      <t xml:space="preserve">
Pipeline, regulatory updates</t>
    </r>
  </si>
  <si>
    <r>
      <t>TotalEnergies 1.535% May-2039
Investment Thesis</t>
    </r>
    <r>
      <rPr>
        <sz val="11"/>
        <color rgb="FF000000"/>
        <rFont val="Calibri"/>
        <charset val="1"/>
      </rPr>
      <t xml:space="preserve">
Integrated energy major with strong balance sheet
Long-dated IG exposure</t>
    </r>
    <r>
      <rPr>
        <b/>
        <sz val="11"/>
        <color rgb="FF000000"/>
        <rFont val="Calibri"/>
        <charset val="1"/>
      </rPr>
      <t xml:space="preserve">
Role in Portfolio</t>
    </r>
    <r>
      <rPr>
        <sz val="11"/>
        <color rgb="FF000000"/>
        <rFont val="Calibri"/>
        <charset val="1"/>
      </rPr>
      <t xml:space="preserve">
Energy transition-linked IG credit</t>
    </r>
    <r>
      <rPr>
        <b/>
        <sz val="11"/>
        <color rgb="FF000000"/>
        <rFont val="Calibri"/>
        <charset val="1"/>
      </rPr>
      <t xml:space="preserve">
Sizing Logic</t>
    </r>
    <r>
      <rPr>
        <sz val="11"/>
        <color rgb="FF000000"/>
        <rFont val="Calibri"/>
        <charset val="1"/>
      </rPr>
      <t xml:space="preserve">
€5k small allocation due to low coupon</t>
    </r>
    <r>
      <rPr>
        <b/>
        <sz val="11"/>
        <color rgb="FF000000"/>
        <rFont val="Calibri"/>
        <charset val="1"/>
      </rPr>
      <t xml:space="preserve">
Expected Return</t>
    </r>
    <r>
      <rPr>
        <sz val="11"/>
        <color rgb="FF000000"/>
        <rFont val="Calibri"/>
        <charset val="1"/>
      </rPr>
      <t xml:space="preserve">
Rate-driven price appreciation</t>
    </r>
    <r>
      <rPr>
        <b/>
        <sz val="11"/>
        <color rgb="FF000000"/>
        <rFont val="Calibri"/>
        <charset val="1"/>
      </rPr>
      <t xml:space="preserve">
Monitoring</t>
    </r>
    <r>
      <rPr>
        <sz val="11"/>
        <color rgb="FF000000"/>
        <rFont val="Calibri"/>
        <charset val="1"/>
      </rPr>
      <t xml:space="preserve">
Energy prices, capex discipline</t>
    </r>
  </si>
  <si>
    <r>
      <t>Tactical Cash — €30,000（10%）
Investment Thesis</t>
    </r>
    <r>
      <rPr>
        <sz val="11"/>
        <color rgb="FF000000"/>
        <rFont val="Calibri"/>
        <charset val="1"/>
      </rPr>
      <t xml:space="preserve">
Maintains optionality to exploit volatility-driven mispricings.</t>
    </r>
    <r>
      <rPr>
        <b/>
        <sz val="11"/>
        <color rgb="FF000000"/>
        <rFont val="Calibri"/>
        <charset val="1"/>
      </rPr>
      <t xml:space="preserve">
Role in Portfolio</t>
    </r>
    <r>
      <rPr>
        <sz val="11"/>
        <color rgb="FF000000"/>
        <rFont val="Calibri"/>
        <charset val="1"/>
      </rPr>
      <t xml:space="preserve">
Liquidity buffer and tactical deployment capital.</t>
    </r>
    <r>
      <rPr>
        <b/>
        <sz val="11"/>
        <color rgb="FF000000"/>
        <rFont val="Calibri"/>
        <charset val="1"/>
      </rPr>
      <t xml:space="preserve">
Sizing Logic</t>
    </r>
    <r>
      <rPr>
        <sz val="11"/>
        <color rgb="FF000000"/>
        <rFont val="Calibri"/>
        <charset val="1"/>
      </rPr>
      <t xml:space="preserve">
10% ensures flexibility without diluting structural positions.</t>
    </r>
    <r>
      <rPr>
        <b/>
        <sz val="11"/>
        <color rgb="FF000000"/>
        <rFont val="Calibri"/>
        <charset val="1"/>
      </rPr>
      <t xml:space="preserve">
Expected Return Sources</t>
    </r>
    <r>
      <rPr>
        <sz val="11"/>
        <color rgb="FF000000"/>
        <rFont val="Calibri"/>
        <charset val="1"/>
      </rPr>
      <t xml:space="preserve">
Optionality rather than yield</t>
    </r>
    <r>
      <rPr>
        <b/>
        <sz val="11"/>
        <color rgb="FF000000"/>
        <rFont val="Calibri"/>
        <charset val="1"/>
      </rPr>
      <t xml:space="preserve">
Monitoring &amp; Exit Triggers</t>
    </r>
    <r>
      <rPr>
        <sz val="11"/>
        <color rgb="FF000000"/>
        <rFont val="Calibri"/>
        <charset val="1"/>
      </rPr>
      <t xml:space="preserve">
Market stress events
Forced selling in credit or rates markets</t>
    </r>
  </si>
  <si>
    <t>regul</t>
  </si>
  <si>
    <t>Bund 2040 Short</t>
  </si>
  <si>
    <t>BTP 2040 Long</t>
  </si>
  <si>
    <t>Bund 2040 Short / Hedge</t>
  </si>
  <si>
    <t>LKraft Heinz 6.5% Feb-2040 Long to capture high coupon carry and defensive consumer-staples credit exposure. Position targets income-driven returns with moderate duration sensitivity, supported by resilient cash flows and non-cyclical demand.</t>
  </si>
  <si>
    <t>BTP 2040 Long to express ECB easing and Italy spread compression. High duration and clean rates/spread beta with manageable volatility over 2-month horizon.</t>
  </si>
  <si>
    <r>
      <t xml:space="preserve">BTP 2040 Long — €15,000（5%）
Investment Thesis
</t>
    </r>
    <r>
      <rPr>
        <sz val="11"/>
        <color rgb="FF000000"/>
        <rFont val="Calibri"/>
      </rPr>
      <t xml:space="preserve">Relative value trade expressing convergence between Italian sovereign spreads and core EUR rates under ECB backstop.
</t>
    </r>
    <r>
      <rPr>
        <b/>
        <sz val="11"/>
        <color rgb="FF000000"/>
        <rFont val="Calibri"/>
      </rPr>
      <t xml:space="preserve">
Role in Portfolio
</t>
    </r>
    <r>
      <rPr>
        <sz val="11"/>
        <color rgb="FF000000"/>
        <rFont val="Calibri"/>
      </rPr>
      <t xml:space="preserve">Spread trade rather than pure duration exposure.
</t>
    </r>
    <r>
      <rPr>
        <b/>
        <sz val="11"/>
        <color rgb="FF000000"/>
        <rFont val="Calibri"/>
      </rPr>
      <t xml:space="preserve">
Sizing Logic
</t>
    </r>
    <r>
      <rPr>
        <sz val="11"/>
        <color rgb="FF000000"/>
        <rFont val="Calibri"/>
      </rPr>
      <t xml:space="preserve">Matched against Bund hedge to isolate spread movement.
</t>
    </r>
    <r>
      <rPr>
        <b/>
        <sz val="11"/>
        <color rgb="FF000000"/>
        <rFont val="Calibri"/>
      </rPr>
      <t xml:space="preserve">
Expected Return Sources
</t>
    </r>
    <r>
      <rPr>
        <sz val="11"/>
        <color rgb="FF000000"/>
        <rFont val="Calibri"/>
      </rPr>
      <t xml:space="preserve">BTP–Bund spread compression
Carry advantage vs core sovereigns
</t>
    </r>
    <r>
      <rPr>
        <b/>
        <sz val="11"/>
        <color rgb="FF000000"/>
        <rFont val="Calibri"/>
      </rPr>
      <t xml:space="preserve">
Key Risks &amp; Mitigants
</t>
    </r>
    <r>
      <rPr>
        <sz val="11"/>
        <color rgb="FF000000"/>
        <rFont val="Calibri"/>
      </rPr>
      <t xml:space="preserve">Risk: Italian fiscal slippage or political shock
Mitigant: Bund hedge neutralizes rate risk
</t>
    </r>
    <r>
      <rPr>
        <b/>
        <sz val="11"/>
        <color rgb="FF000000"/>
        <rFont val="Calibri"/>
      </rPr>
      <t xml:space="preserve">
Monitoring &amp; Exit Triggers
</t>
    </r>
    <r>
      <rPr>
        <sz val="11"/>
        <color rgb="FF000000"/>
        <rFont val="Calibri"/>
      </rPr>
      <t>BTP–Bund spread levels
Italian budget announcements
ECB transmission protection signals</t>
    </r>
  </si>
  <si>
    <t>Bund 2040 Short as duration hedge against long BTP/OAT. Neutralizes pure rate risk while retaining peripheral spread compression exposure.</t>
  </si>
  <si>
    <t>BTP 2040 LONG to express ECB easing and Italy spread compression. High duration and clean rates/spread beta with manageable volatility over 2-month horizon.</t>
  </si>
  <si>
    <t>According to Bond strategy</t>
  </si>
  <si>
    <t xml:space="preserve">Let's see where volatility brings us </t>
  </si>
  <si>
    <t>Bull call spread - Looking for top of gold</t>
  </si>
  <si>
    <t>Long short Momentum value</t>
  </si>
  <si>
    <t>Bond strategy</t>
  </si>
  <si>
    <t>Long Short Momentum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</si>
</sst>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40C]_-;\-* #,##0.00\ [$€-40C]_-;_-* &quot;-&quot;??\ [$€-40C]_-;_-@_-"/>
    <numFmt numFmtId="165" formatCode="_-[$$-409]* #,##0.00_ ;_-[$$-409]* \-#,##0.00\ ;_-[$$-409]* &quot;-&quot;??_ ;_-@_ "/>
    <numFmt numFmtId="166" formatCode="[$-409]d/m/yy\ h:mm\ AM/PM;@"/>
  </numFmts>
  <fonts count="25">
    <font>
      <sz val="11"/>
      <color theme="1"/>
      <name val="Calibri"/>
      <family val="2"/>
      <scheme val="minor"/>
    </font>
    <font>
      <b/>
      <sz val="11"/>
      <color theme="1"/>
      <name val="Calibri"/>
      <family val="2"/>
      <scheme val="minor"/>
    </font>
    <font>
      <sz val="11"/>
      <color rgb="FF000000"/>
      <name val="Calibri"/>
    </font>
    <font>
      <i/>
      <sz val="11"/>
      <color theme="1"/>
      <name val="Calibri"/>
      <family val="2"/>
      <scheme val="minor"/>
    </font>
    <font>
      <u/>
      <sz val="11"/>
      <color theme="10"/>
      <name val="Calibri"/>
      <family val="2"/>
      <scheme val="minor"/>
    </font>
    <font>
      <sz val="11"/>
      <color rgb="FF000000"/>
      <name val="Calibri"/>
      <scheme val="minor"/>
    </font>
    <font>
      <sz val="11"/>
      <color rgb="FF000000"/>
      <name val="Calibri"/>
      <charset val="1"/>
    </font>
    <font>
      <b/>
      <sz val="11"/>
      <color rgb="FF000000"/>
      <name val="Calibri"/>
      <charset val="134"/>
    </font>
    <font>
      <sz val="11"/>
      <color rgb="FF000000"/>
      <name val="Calibri"/>
      <charset val="134"/>
    </font>
    <font>
      <sz val="11"/>
      <color rgb="FF17191F"/>
      <name val="Calibri"/>
      <scheme val="minor"/>
    </font>
    <font>
      <b/>
      <sz val="11"/>
      <color rgb="FF000000"/>
      <name val="Calibri"/>
    </font>
    <font>
      <b/>
      <sz val="11"/>
      <color rgb="FF000000"/>
      <name val="Calibri"/>
      <charset val="1"/>
    </font>
    <font>
      <sz val="11"/>
      <color rgb="FF17191F"/>
      <name val="Montserrat"/>
      <charset val="1"/>
    </font>
    <font>
      <sz val="11"/>
      <color rgb="FF000000"/>
      <name val="Aptos Narrow"/>
      <family val="2"/>
    </font>
    <font>
      <sz val="11"/>
      <color rgb="FF000000"/>
      <name val="Calibri"/>
      <family val="2"/>
    </font>
    <font>
      <b/>
      <sz val="11"/>
      <color rgb="FF000000"/>
      <name val="Calibri"/>
      <family val="2"/>
    </font>
    <font>
      <sz val="11"/>
      <color rgb="FF17191F"/>
      <name val="Montserrat"/>
    </font>
    <font>
      <sz val="10"/>
      <color rgb="FF000000"/>
      <name val="Arial Unicode MS"/>
    </font>
    <font>
      <sz val="11"/>
      <color rgb="FF17191F"/>
      <name val="Calibri"/>
      <family val="2"/>
    </font>
    <font>
      <sz val="11"/>
      <color rgb="FFFF0000"/>
      <name val="Calibri"/>
      <family val="2"/>
    </font>
    <font>
      <b/>
      <sz val="11"/>
      <color rgb="FF17191F"/>
      <name val="Montserrat"/>
      <charset val="1"/>
    </font>
    <font>
      <sz val="11"/>
      <color rgb="FFFF0000"/>
      <name val="Calibri"/>
      <family val="2"/>
      <scheme val="minor"/>
    </font>
    <font>
      <sz val="11"/>
      <color rgb="FF000000"/>
      <name val="Calibri"/>
      <family val="2"/>
      <scheme val="minor"/>
    </font>
    <font>
      <sz val="11"/>
      <color rgb="FF000000"/>
      <name val="Montserrat"/>
    </font>
    <font>
      <sz val="11"/>
      <color rgb="FF4EC48F"/>
      <name val="Montserrat"/>
    </font>
  </fonts>
  <fills count="1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9E4B4"/>
        <bgColor indexed="64"/>
      </patternFill>
    </fill>
    <fill>
      <patternFill patternType="solid">
        <fgColor rgb="FFFF0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2"/>
        <bgColor indexed="64"/>
      </patternFill>
    </fill>
    <fill>
      <patternFill patternType="solid">
        <fgColor rgb="FFF2F2F2"/>
        <bgColor rgb="FF000000"/>
      </patternFill>
    </fill>
    <fill>
      <patternFill patternType="solid">
        <fgColor theme="9"/>
        <bgColor indexed="64"/>
      </patternFill>
    </fill>
    <fill>
      <patternFill patternType="solid">
        <fgColor rgb="FFFFFFFF"/>
        <bgColor indexed="64"/>
      </patternFill>
    </fill>
  </fills>
  <borders count="8">
    <border>
      <left/>
      <right/>
      <top/>
      <bottom/>
      <diagonal/>
    </border>
    <border>
      <left style="thin">
        <color theme="0"/>
      </left>
      <right/>
      <top style="thin">
        <color theme="0"/>
      </top>
      <bottom style="thin">
        <color theme="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DDE4F4"/>
      </bottom>
      <diagonal/>
    </border>
  </borders>
  <cellStyleXfs count="2">
    <xf numFmtId="0" fontId="0" fillId="0" borderId="0"/>
    <xf numFmtId="0" fontId="4" fillId="0" borderId="0" applyNumberFormat="0" applyFill="0" applyBorder="0" applyAlignment="0" applyProtection="0"/>
  </cellStyleXfs>
  <cellXfs count="143">
    <xf numFmtId="0" fontId="0" fillId="0" borderId="0" xfId="0"/>
    <xf numFmtId="0" fontId="1" fillId="0" borderId="0" xfId="0" applyFont="1"/>
    <xf numFmtId="0" fontId="0" fillId="0" borderId="0" xfId="0" applyFont="1"/>
    <xf numFmtId="9" fontId="0" fillId="0" borderId="0" xfId="0" applyNumberFormat="1"/>
    <xf numFmtId="0" fontId="3" fillId="2" borderId="0" xfId="0" applyFont="1" applyFill="1"/>
    <xf numFmtId="10" fontId="0" fillId="0" borderId="0" xfId="0" applyNumberFormat="1"/>
    <xf numFmtId="164" fontId="0" fillId="0" borderId="0" xfId="0" applyNumberFormat="1"/>
    <xf numFmtId="0" fontId="1" fillId="3" borderId="0" xfId="0" applyFont="1" applyFill="1"/>
    <xf numFmtId="0" fontId="4" fillId="0" borderId="0" xfId="1"/>
    <xf numFmtId="165" fontId="0" fillId="0" borderId="0" xfId="0" applyNumberFormat="1"/>
    <xf numFmtId="0" fontId="0" fillId="4" borderId="1" xfId="0" applyFont="1" applyFill="1" applyBorder="1"/>
    <xf numFmtId="0" fontId="0" fillId="0" borderId="0" xfId="0" applyNumberFormat="1"/>
    <xf numFmtId="166" fontId="0" fillId="0" borderId="0" xfId="0" applyNumberFormat="1"/>
    <xf numFmtId="0" fontId="0" fillId="0" borderId="0" xfId="0" applyAlignment="1">
      <alignment wrapText="1"/>
    </xf>
    <xf numFmtId="0" fontId="3" fillId="0" borderId="0" xfId="0" applyFont="1" applyFill="1"/>
    <xf numFmtId="0" fontId="5" fillId="5" borderId="0" xfId="0" applyFont="1" applyFill="1"/>
    <xf numFmtId="0" fontId="6" fillId="0" borderId="0" xfId="0" applyFont="1"/>
    <xf numFmtId="0" fontId="6" fillId="0" borderId="0" xfId="0" applyFont="1" applyAlignment="1">
      <alignment wrapText="1"/>
    </xf>
    <xf numFmtId="0" fontId="7" fillId="0" borderId="0" xfId="0" applyFont="1" applyFill="1" applyBorder="1" applyAlignment="1">
      <alignment wrapText="1"/>
    </xf>
    <xf numFmtId="0" fontId="8" fillId="0" borderId="0" xfId="0" applyFont="1" applyFill="1" applyBorder="1" applyAlignment="1">
      <alignment wrapText="1"/>
    </xf>
    <xf numFmtId="17" fontId="8" fillId="0" borderId="0" xfId="0" applyNumberFormat="1" applyFont="1" applyFill="1" applyBorder="1" applyAlignment="1">
      <alignment wrapText="1"/>
    </xf>
    <xf numFmtId="16" fontId="8" fillId="0" borderId="0" xfId="0" applyNumberFormat="1" applyFont="1" applyFill="1" applyBorder="1" applyAlignment="1">
      <alignment wrapText="1"/>
    </xf>
    <xf numFmtId="15" fontId="8" fillId="0" borderId="0" xfId="0" applyNumberFormat="1" applyFont="1" applyFill="1" applyBorder="1" applyAlignment="1">
      <alignment wrapText="1"/>
    </xf>
    <xf numFmtId="0" fontId="8" fillId="0" borderId="0" xfId="0" applyFont="1"/>
    <xf numFmtId="0" fontId="8" fillId="0" borderId="0" xfId="0" applyFont="1" applyAlignment="1">
      <alignment wrapText="1"/>
    </xf>
    <xf numFmtId="0" fontId="7" fillId="0" borderId="2" xfId="0" applyFont="1" applyBorder="1" applyAlignment="1">
      <alignment wrapText="1"/>
    </xf>
    <xf numFmtId="0" fontId="8" fillId="0" borderId="2" xfId="0" applyFont="1" applyBorder="1" applyAlignment="1">
      <alignment wrapText="1"/>
    </xf>
    <xf numFmtId="9" fontId="8" fillId="0" borderId="2" xfId="0" applyNumberFormat="1" applyFont="1" applyBorder="1" applyAlignment="1">
      <alignment wrapText="1"/>
    </xf>
    <xf numFmtId="3" fontId="8" fillId="0" borderId="2" xfId="0" applyNumberFormat="1" applyFont="1" applyBorder="1" applyAlignment="1">
      <alignment wrapText="1"/>
    </xf>
    <xf numFmtId="0" fontId="8" fillId="6" borderId="0" xfId="0" applyFont="1" applyFill="1" applyAlignment="1">
      <alignment wrapText="1"/>
    </xf>
    <xf numFmtId="0" fontId="0" fillId="0" borderId="0" xfId="0" pivotButton="1"/>
    <xf numFmtId="3" fontId="8" fillId="0" borderId="0" xfId="0" applyNumberFormat="1" applyFont="1"/>
    <xf numFmtId="0" fontId="8" fillId="7" borderId="0" xfId="0" applyFont="1" applyFill="1"/>
    <xf numFmtId="0" fontId="0" fillId="7" borderId="0" xfId="0" applyFill="1"/>
    <xf numFmtId="0" fontId="1" fillId="0" borderId="3" xfId="0" applyFont="1" applyBorder="1" applyAlignment="1">
      <alignment horizontal="center" vertical="top"/>
    </xf>
    <xf numFmtId="10" fontId="1" fillId="0" borderId="3" xfId="0" applyNumberFormat="1" applyFont="1" applyBorder="1" applyAlignment="1">
      <alignment horizontal="center" vertical="top"/>
    </xf>
    <xf numFmtId="0" fontId="9" fillId="0" borderId="0" xfId="0" applyFont="1" applyAlignment="1">
      <alignment wrapText="1"/>
    </xf>
    <xf numFmtId="0" fontId="7" fillId="8" borderId="2" xfId="0" applyFont="1" applyFill="1" applyBorder="1" applyAlignment="1"/>
    <xf numFmtId="0" fontId="8" fillId="0" borderId="2" xfId="0" applyFont="1" applyFill="1" applyBorder="1" applyAlignment="1"/>
    <xf numFmtId="0" fontId="8" fillId="0" borderId="2" xfId="0" applyFont="1" applyFill="1" applyBorder="1" applyAlignment="1">
      <alignment wrapText="1"/>
    </xf>
    <xf numFmtId="3" fontId="8" fillId="0" borderId="2" xfId="0" applyNumberFormat="1" applyFont="1" applyFill="1" applyBorder="1" applyAlignment="1"/>
    <xf numFmtId="14" fontId="8" fillId="0" borderId="2" xfId="0" applyNumberFormat="1" applyFont="1" applyFill="1" applyBorder="1" applyAlignment="1"/>
    <xf numFmtId="4" fontId="8" fillId="0" borderId="2" xfId="0" applyNumberFormat="1" applyFont="1" applyFill="1" applyBorder="1" applyAlignment="1"/>
    <xf numFmtId="0" fontId="7" fillId="8" borderId="2" xfId="0" applyFont="1" applyFill="1" applyBorder="1" applyAlignment="1">
      <alignment wrapText="1"/>
    </xf>
    <xf numFmtId="0" fontId="10" fillId="0" borderId="2" xfId="0" applyFont="1" applyFill="1" applyBorder="1" applyAlignment="1">
      <alignment wrapText="1"/>
    </xf>
    <xf numFmtId="0" fontId="7" fillId="8" borderId="2" xfId="0" applyFont="1" applyFill="1" applyBorder="1"/>
    <xf numFmtId="0" fontId="8" fillId="0" borderId="2" xfId="0" applyFont="1" applyBorder="1"/>
    <xf numFmtId="3" fontId="8" fillId="0" borderId="2" xfId="0" applyNumberFormat="1" applyFont="1" applyBorder="1"/>
    <xf numFmtId="14" fontId="8" fillId="0" borderId="2" xfId="0" applyNumberFormat="1" applyFont="1" applyBorder="1"/>
    <xf numFmtId="0" fontId="11" fillId="0" borderId="2" xfId="0" applyFont="1" applyBorder="1" applyAlignment="1">
      <alignment wrapText="1"/>
    </xf>
    <xf numFmtId="4" fontId="8" fillId="0" borderId="2" xfId="0" applyNumberFormat="1" applyFont="1" applyBorder="1"/>
    <xf numFmtId="4" fontId="8" fillId="0" borderId="2" xfId="0" applyNumberFormat="1" applyFont="1" applyBorder="1" applyAlignment="1">
      <alignment wrapText="1"/>
    </xf>
    <xf numFmtId="0" fontId="10" fillId="0" borderId="2" xfId="0" applyFont="1" applyBorder="1" applyAlignment="1">
      <alignment wrapText="1"/>
    </xf>
    <xf numFmtId="4" fontId="12" fillId="0" borderId="0" xfId="0" applyNumberFormat="1" applyFont="1"/>
    <xf numFmtId="4" fontId="0" fillId="0" borderId="0" xfId="0" applyNumberFormat="1"/>
    <xf numFmtId="0" fontId="12" fillId="0" borderId="0" xfId="0" applyFont="1"/>
    <xf numFmtId="0" fontId="1" fillId="9" borderId="0" xfId="0" applyFont="1" applyFill="1" applyBorder="1" applyAlignment="1">
      <alignment horizontal="center" vertical="top"/>
    </xf>
    <xf numFmtId="0" fontId="0" fillId="9" borderId="0" xfId="0" applyFill="1"/>
    <xf numFmtId="10" fontId="1" fillId="9" borderId="0" xfId="0" applyNumberFormat="1" applyFont="1" applyFill="1" applyBorder="1" applyAlignment="1">
      <alignment horizontal="center" vertical="top"/>
    </xf>
    <xf numFmtId="0" fontId="1" fillId="10" borderId="3" xfId="0" applyFont="1" applyFill="1" applyBorder="1" applyAlignment="1">
      <alignment horizontal="center" vertical="top"/>
    </xf>
    <xf numFmtId="0" fontId="1" fillId="10" borderId="0" xfId="0" applyFont="1" applyFill="1" applyBorder="1" applyAlignment="1">
      <alignment horizontal="center" vertical="top"/>
    </xf>
    <xf numFmtId="0" fontId="0" fillId="10" borderId="0" xfId="0" applyFill="1"/>
    <xf numFmtId="22" fontId="12" fillId="0" borderId="0" xfId="0" applyNumberFormat="1" applyFont="1"/>
    <xf numFmtId="22" fontId="0" fillId="0" borderId="0" xfId="0" applyNumberFormat="1"/>
    <xf numFmtId="0" fontId="9" fillId="10" borderId="0" xfId="0" applyFont="1" applyFill="1" applyAlignment="1">
      <alignment wrapText="1"/>
    </xf>
    <xf numFmtId="0" fontId="0" fillId="10" borderId="0" xfId="0" applyFill="1" applyAlignment="1">
      <alignment wrapText="1"/>
    </xf>
    <xf numFmtId="0" fontId="13" fillId="0" borderId="0" xfId="0" applyFont="1" applyFill="1" applyBorder="1" applyAlignment="1"/>
    <xf numFmtId="0" fontId="14" fillId="0" borderId="0" xfId="0" applyFont="1" applyFill="1" applyBorder="1" applyAlignment="1"/>
    <xf numFmtId="0" fontId="14" fillId="0" borderId="0" xfId="0" applyFont="1" applyFill="1" applyAlignment="1"/>
    <xf numFmtId="14" fontId="14" fillId="0" borderId="0" xfId="0" applyNumberFormat="1" applyFont="1" applyFill="1" applyBorder="1" applyAlignment="1"/>
    <xf numFmtId="3" fontId="14" fillId="0" borderId="0" xfId="0" applyNumberFormat="1" applyFont="1" applyFill="1" applyBorder="1" applyAlignment="1"/>
    <xf numFmtId="22" fontId="12" fillId="11" borderId="0" xfId="0" applyNumberFormat="1" applyFont="1" applyFill="1" applyBorder="1" applyAlignment="1"/>
    <xf numFmtId="22" fontId="16" fillId="11" borderId="0" xfId="0" applyNumberFormat="1" applyFont="1" applyFill="1" applyBorder="1" applyAlignment="1"/>
    <xf numFmtId="22" fontId="14" fillId="0" borderId="0" xfId="0" applyNumberFormat="1" applyFont="1" applyFill="1" applyBorder="1" applyAlignment="1"/>
    <xf numFmtId="22" fontId="17" fillId="0" borderId="0" xfId="0" applyNumberFormat="1" applyFont="1" applyFill="1" applyBorder="1" applyAlignment="1">
      <alignment readingOrder="1"/>
    </xf>
    <xf numFmtId="22" fontId="15" fillId="0" borderId="3" xfId="0" applyNumberFormat="1" applyFont="1" applyFill="1" applyBorder="1" applyAlignment="1"/>
    <xf numFmtId="0" fontId="14" fillId="0" borderId="3" xfId="0" applyFont="1" applyFill="1" applyBorder="1" applyAlignment="1"/>
    <xf numFmtId="0" fontId="14" fillId="11" borderId="0" xfId="0" applyFont="1" applyFill="1" applyBorder="1" applyAlignment="1"/>
    <xf numFmtId="0" fontId="18" fillId="0" borderId="0" xfId="0" applyFont="1" applyFill="1" applyBorder="1" applyAlignment="1"/>
    <xf numFmtId="14" fontId="0" fillId="0" borderId="0" xfId="0" applyNumberFormat="1"/>
    <xf numFmtId="0" fontId="0" fillId="0" borderId="0" xfId="0" applyFill="1"/>
    <xf numFmtId="3" fontId="14" fillId="0" borderId="0" xfId="0" applyNumberFormat="1" applyFont="1" applyFill="1" applyAlignment="1"/>
    <xf numFmtId="0" fontId="19" fillId="0" borderId="0" xfId="0" applyFont="1" applyFill="1" applyBorder="1" applyAlignment="1"/>
    <xf numFmtId="0" fontId="0" fillId="12" borderId="0" xfId="0" applyFill="1"/>
    <xf numFmtId="0" fontId="6" fillId="12" borderId="0" xfId="0" applyFont="1" applyFill="1"/>
    <xf numFmtId="0" fontId="20" fillId="0" borderId="0" xfId="0" applyFont="1"/>
    <xf numFmtId="0" fontId="0" fillId="8" borderId="0" xfId="0" applyFill="1"/>
    <xf numFmtId="0" fontId="0" fillId="5" borderId="0" xfId="0" applyFill="1"/>
    <xf numFmtId="0" fontId="14" fillId="5" borderId="0" xfId="0" applyFont="1" applyFill="1" applyBorder="1" applyAlignment="1"/>
    <xf numFmtId="0" fontId="1" fillId="0" borderId="0" xfId="0" applyFont="1" applyAlignment="1">
      <alignment wrapText="1"/>
    </xf>
    <xf numFmtId="0" fontId="12" fillId="13" borderId="7" xfId="0" applyFont="1" applyFill="1" applyBorder="1" applyAlignment="1">
      <alignment wrapText="1"/>
    </xf>
    <xf numFmtId="2" fontId="12" fillId="13" borderId="7" xfId="0" applyNumberFormat="1" applyFont="1" applyFill="1" applyBorder="1" applyAlignment="1">
      <alignment wrapText="1"/>
    </xf>
    <xf numFmtId="0" fontId="21" fillId="0" borderId="0" xfId="0" applyFont="1"/>
    <xf numFmtId="22" fontId="21" fillId="0" borderId="0" xfId="0" applyNumberFormat="1" applyFont="1"/>
    <xf numFmtId="0" fontId="21" fillId="10" borderId="0" xfId="0" applyFont="1" applyFill="1"/>
    <xf numFmtId="0" fontId="14" fillId="0" borderId="0" xfId="0" applyFont="1"/>
    <xf numFmtId="0" fontId="1" fillId="9" borderId="0" xfId="0" applyFont="1" applyFill="1" applyAlignment="1">
      <alignment horizontal="center" vertical="top"/>
    </xf>
    <xf numFmtId="14" fontId="12" fillId="0" borderId="0" xfId="0" applyNumberFormat="1" applyFont="1"/>
    <xf numFmtId="0" fontId="12" fillId="5" borderId="0" xfId="0" applyFont="1" applyFill="1"/>
    <xf numFmtId="22" fontId="0" fillId="5" borderId="0" xfId="0" applyNumberFormat="1" applyFill="1"/>
    <xf numFmtId="0" fontId="12" fillId="0" borderId="0" xfId="0" applyFont="1" applyFill="1"/>
    <xf numFmtId="22" fontId="0" fillId="0" borderId="0" xfId="0" applyNumberFormat="1" applyFill="1"/>
    <xf numFmtId="4" fontId="14" fillId="0" borderId="0" xfId="0" applyNumberFormat="1" applyFont="1" applyFill="1" applyBorder="1" applyAlignment="1"/>
    <xf numFmtId="4" fontId="22" fillId="0" borderId="0" xfId="0" applyNumberFormat="1" applyFont="1"/>
    <xf numFmtId="0" fontId="22" fillId="0" borderId="0" xfId="0" applyFont="1"/>
    <xf numFmtId="0" fontId="22" fillId="0" borderId="0" xfId="0" applyNumberFormat="1" applyFont="1"/>
    <xf numFmtId="0" fontId="13" fillId="0" borderId="0" xfId="0" applyFont="1"/>
    <xf numFmtId="14" fontId="14" fillId="0" borderId="0" xfId="0" applyNumberFormat="1" applyFont="1"/>
    <xf numFmtId="14" fontId="17" fillId="0" borderId="0" xfId="0" applyNumberFormat="1" applyFont="1" applyAlignment="1">
      <alignment readingOrder="1"/>
    </xf>
    <xf numFmtId="0" fontId="8" fillId="0" borderId="6" xfId="0" applyFont="1" applyFill="1" applyBorder="1" applyAlignment="1"/>
    <xf numFmtId="0" fontId="8" fillId="0" borderId="6" xfId="0" applyFont="1" applyBorder="1" applyAlignment="1">
      <alignment wrapText="1"/>
    </xf>
    <xf numFmtId="0" fontId="0" fillId="0" borderId="0" xfId="0" applyAlignment="1">
      <alignment horizontal="center" wrapText="1"/>
    </xf>
    <xf numFmtId="0" fontId="0" fillId="0" borderId="0" xfId="0" applyAlignment="1">
      <alignment horizontal="center"/>
    </xf>
    <xf numFmtId="0" fontId="0" fillId="12" borderId="0" xfId="0" applyFill="1" applyAlignment="1">
      <alignment horizontal="center" vertical="center"/>
    </xf>
    <xf numFmtId="0" fontId="0" fillId="0" borderId="0" xfId="0" applyAlignment="1">
      <alignment horizontal="center" vertical="center"/>
    </xf>
    <xf numFmtId="0" fontId="8" fillId="0" borderId="4" xfId="0" applyFont="1" applyBorder="1" applyAlignment="1">
      <alignment wrapText="1"/>
    </xf>
    <xf numFmtId="0" fontId="8" fillId="0" borderId="5" xfId="0" applyFont="1" applyBorder="1" applyAlignment="1">
      <alignment wrapText="1"/>
    </xf>
    <xf numFmtId="0" fontId="8" fillId="0" borderId="6" xfId="0" applyFont="1" applyBorder="1" applyAlignment="1">
      <alignment wrapText="1"/>
    </xf>
    <xf numFmtId="0" fontId="8" fillId="0" borderId="4" xfId="0" applyFont="1" applyFill="1" applyBorder="1" applyAlignment="1">
      <alignment wrapText="1"/>
    </xf>
    <xf numFmtId="0" fontId="8" fillId="0" borderId="5" xfId="0" applyFont="1" applyFill="1" applyBorder="1" applyAlignment="1">
      <alignment wrapText="1"/>
    </xf>
    <xf numFmtId="0" fontId="8" fillId="0" borderId="6" xfId="0" applyFont="1" applyFill="1" applyBorder="1" applyAlignment="1">
      <alignment wrapText="1"/>
    </xf>
    <xf numFmtId="0" fontId="8" fillId="0" borderId="4" xfId="0" applyFont="1" applyFill="1" applyBorder="1" applyAlignment="1"/>
    <xf numFmtId="0" fontId="8" fillId="0" borderId="6" xfId="0" applyFont="1" applyFill="1" applyBorder="1" applyAlignment="1"/>
    <xf numFmtId="0" fontId="8" fillId="0" borderId="5" xfId="0" applyFont="1" applyFill="1" applyBorder="1" applyAlignment="1"/>
    <xf numFmtId="22" fontId="12" fillId="0" borderId="0" xfId="0" applyNumberFormat="1" applyFont="1" applyFill="1"/>
    <xf numFmtId="0" fontId="16" fillId="0" borderId="0" xfId="0" applyFont="1" applyFill="1"/>
    <xf numFmtId="0" fontId="16" fillId="0" borderId="0" xfId="0" applyFont="1"/>
    <xf numFmtId="0" fontId="16" fillId="13" borderId="7" xfId="0" applyFont="1" applyFill="1" applyBorder="1" applyAlignment="1">
      <alignment wrapText="1"/>
    </xf>
    <xf numFmtId="0" fontId="1" fillId="0" borderId="3" xfId="0" applyFont="1" applyFill="1" applyBorder="1" applyAlignment="1">
      <alignment horizontal="center" vertical="top"/>
    </xf>
    <xf numFmtId="0" fontId="1" fillId="0" borderId="0" xfId="0" applyFont="1" applyFill="1" applyBorder="1" applyAlignment="1">
      <alignment horizontal="center" vertical="top"/>
    </xf>
    <xf numFmtId="0" fontId="21" fillId="0" borderId="0" xfId="0" applyFont="1" applyFill="1"/>
    <xf numFmtId="0" fontId="14" fillId="0" borderId="0" xfId="0" applyFont="1" applyFill="1"/>
    <xf numFmtId="0" fontId="14" fillId="0" borderId="0" xfId="0" applyFont="1" applyFill="1" applyBorder="1"/>
    <xf numFmtId="0" fontId="18" fillId="0" borderId="0" xfId="0" applyFont="1" applyFill="1"/>
    <xf numFmtId="0" fontId="0" fillId="0" borderId="0" xfId="0" applyFont="1" applyFill="1"/>
    <xf numFmtId="0" fontId="0" fillId="0" borderId="0" xfId="0" applyFont="1" applyFill="1" applyBorder="1"/>
    <xf numFmtId="0" fontId="16" fillId="0" borderId="7" xfId="0" applyFont="1" applyFill="1" applyBorder="1" applyAlignment="1">
      <alignment wrapText="1"/>
    </xf>
    <xf numFmtId="0" fontId="16" fillId="0" borderId="0" xfId="0" applyFont="1" applyFill="1" applyBorder="1"/>
    <xf numFmtId="0" fontId="23" fillId="0" borderId="0" xfId="0" applyFont="1"/>
    <xf numFmtId="4" fontId="23" fillId="0" borderId="0" xfId="0" applyNumberFormat="1" applyFont="1"/>
    <xf numFmtId="4" fontId="24" fillId="0" borderId="0" xfId="0" applyNumberFormat="1" applyFont="1"/>
    <xf numFmtId="0" fontId="0" fillId="0" borderId="0" xfId="0" applyNumberFormat="1" applyFont="1"/>
    <xf numFmtId="10" fontId="0" fillId="0" borderId="0" xfId="0" applyNumberFormat="1" applyFont="1"/>
  </cellXfs>
  <cellStyles count="2">
    <cellStyle name="Hyperlink" xfId="1" xr:uid="{00000000-000B-0000-0000-000008000000}"/>
    <cellStyle name="Normal" xfId="0" builtinId="0"/>
  </cellStyles>
  <dxfs count="1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charset val="134"/>
        <scheme val="none"/>
      </font>
      <numFmt numFmtId="167" formatCode="d\-mmm\-yy"/>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1"/>
        <color rgb="FF000000"/>
        <name val="Calibri"/>
        <charset val="134"/>
        <scheme val="none"/>
      </font>
      <fill>
        <patternFill patternType="none">
          <fgColor indexed="64"/>
          <bgColor indexed="65"/>
        </patternFill>
      </fill>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53.424664467595" createdVersion="8" refreshedVersion="8" minRefreshableVersion="3" recordCount="204" xr:uid="{830EA52F-A3F1-4663-8FBC-2620444341D1}">
  <cacheSource type="worksheet">
    <worksheetSource name="Table2"/>
  </cacheSource>
  <cacheFields count="9">
    <cacheField name="Issuer" numFmtId="0">
      <sharedItems count="110">
        <s v="21st Century Fox Amer Inc"/>
        <s v="7-Eleven Inc"/>
        <s v="Apple Inc"/>
        <s v="Abbott Labs"/>
        <s v="AbbVie Inc"/>
        <s v="Adobe Inc"/>
        <s v="Advanced Micro Devices Inc"/>
        <s v="Alphabet Inc"/>
        <s v="Allstate Corp"/>
        <s v="Altria Group Inc"/>
        <s v="Alcan Inc"/>
        <s v="Avangrid Inc"/>
        <s v="Aflac Inc"/>
        <s v="Agrium Inc"/>
        <s v="American Express Co"/>
        <s v="Berkshire Hathaway Energy Co"/>
        <s v="BHP Billiton Ltd"/>
        <s v="BlackRock TCP Capital Corp"/>
        <s v="Block Inc"/>
        <s v="Boeing Co"/>
        <s v="Boston Scientific Corp"/>
        <s v="Comcast Corp"/>
        <s v="Citigroup Inc"/>
        <s v="Churchill Downs Inc"/>
        <s v="Cisco Systems Inc"/>
        <s v="Electronic Arts Inc"/>
        <s v="Ford Motor Co"/>
        <s v="Goldman Sachs Group Inc"/>
        <s v="HSBC Holdings PLC"/>
        <s v="Hawaiian Airlines"/>
        <s v="Intel Corp"/>
        <s v="JP Morgan Chase Co"/>
        <s v="Johnson &amp; Johnson"/>
        <s v="Kraft Heinz Foods"/>
        <s v="Mastercard Inc"/>
        <s v="MetLife Inc"/>
        <s v="Microsoft Corp"/>
        <s v="Nike Inc"/>
        <s v="Nvidia Corp"/>
        <s v="Novant Health Inc"/>
        <s v="PayPal Holdings Inc"/>
        <s v="PepsiCo Inc"/>
        <s v="Pfizer Inc"/>
        <s v="Pacific Gas &amp; Elec Co"/>
        <s v="Philip Morris"/>
        <s v="Procter &amp; Gamble Co"/>
        <s v="Ralph Lauren Corp"/>
        <s v="Starbucks Corp"/>
        <s v="Target Corp"/>
        <s v="Walt Disney Co"/>
        <s v="United Parcel Service Inc"/>
        <s v="United States Steel Corp"/>
        <s v="Verizon Communications Inc"/>
        <s v="Waste Management Inc"/>
        <s v="Western Union Co"/>
        <s v="Wal-Mart Stores Inc"/>
        <s v="Wells Fargo"/>
        <s v="US Treasury"/>
        <s v="3i Group"/>
        <s v="Aviva PLC"/>
        <s v="BP PLC"/>
        <s v="British Telecom PLC"/>
        <s v="Burberry Group"/>
        <s v="Lloyds Banking Group"/>
        <s v="Shell PLC"/>
        <s v="Tesco PLC"/>
        <s v="UK Treasury"/>
        <s v="BASF SE"/>
        <s v="Deutsche Bank AG"/>
        <s v="Deutsche Telekom AG"/>
        <s v="Infineon Technologies AG"/>
        <s v="Mercedes-Benz Group AG"/>
        <s v="Merck KGaA"/>
        <s v="MTU Aero Engines AG"/>
        <s v="Rheinmetall AG"/>
        <s v="SAP SE"/>
        <s v="Siemens AG"/>
        <s v="German Treasury (Bund)"/>
        <s v="AXA S.A."/>
        <s v="Crédit Agricole S.A."/>
        <s v="Danone"/>
        <s v="L’Air Liquide Finance"/>
        <s v="L’Oréal S.A."/>
        <s v="LVMH Moët Hennessy"/>
        <s v="Sanofi S.A."/>
        <s v="Schneider Electric"/>
        <s v="Thales S.A."/>
        <s v="TotalEnergies Capital Intl."/>
        <s v="Vinci S.A."/>
        <s v="French Treasury (OAT)"/>
        <s v="ASML Holding"/>
        <s v="EXOR N.V."/>
        <s v="Heineken"/>
        <s v="Philips"/>
        <s v="KPN N.V."/>
        <s v="Prosus N.V."/>
        <s v="Stellantis N.V."/>
        <s v="Wolters Kluwer"/>
        <s v="Netherlands Treasury (DSL)"/>
        <s v="Banco BPM"/>
        <s v="Enel Finance Intl."/>
        <s v="ENI S.p.A."/>
        <s v="Intesa Sanpaolo S.p.A."/>
        <s v="Generali S.p.A."/>
        <s v="Mediobanca"/>
        <s v="Snam S.p.A."/>
        <s v="Terna R.T.E."/>
        <s v="Unipol Assicurazioni S.p.A."/>
        <s v="Unipol Assicurazioni"/>
        <s v="Italian Treasury (BTP)"/>
      </sharedItems>
    </cacheField>
    <cacheField name="Country" numFmtId="0">
      <sharedItems count="6">
        <s v="US"/>
        <s v="UK"/>
        <s v="Germany"/>
        <s v="France"/>
        <s v="Netherlands"/>
        <s v="Italy"/>
      </sharedItems>
    </cacheField>
    <cacheField name="Bond Type" numFmtId="0">
      <sharedItems count="2">
        <s v="Corporate"/>
        <s v="Government"/>
      </sharedItems>
    </cacheField>
    <cacheField name="Industry" numFmtId="0">
      <sharedItems/>
    </cacheField>
    <cacheField name="Coupon (%)" numFmtId="0">
      <sharedItems containsString="0" containsBlank="1" containsNumber="1" minValue="0.05" maxValue="10.75"/>
    </cacheField>
    <cacheField name="Maturity" numFmtId="0">
      <sharedItems containsNonDate="0" containsDate="1" containsString="0" containsBlank="1" minDate="1930-01-04T00:00:00" maxDate="2029-11-16T00:00:00"/>
    </cacheField>
    <cacheField name="Tenor" numFmtId="0">
      <sharedItems containsBlank="1"/>
    </cacheField>
    <cacheField name="Yield Style" numFmtId="0">
      <sharedItems containsBlank="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x v="0"/>
    <x v="0"/>
    <s v="Media"/>
    <n v="6.65"/>
    <d v="1937-11-01T00:00:00"/>
    <s v="Long"/>
    <s v="High"/>
    <s v="Media company"/>
  </r>
  <r>
    <x v="0"/>
    <x v="0"/>
    <x v="0"/>
    <s v="Media"/>
    <n v="6.4"/>
    <d v="1935-12-01T00:00:00"/>
    <s v="Long"/>
    <s v="High"/>
    <s v="Media company"/>
  </r>
  <r>
    <x v="1"/>
    <x v="0"/>
    <x v="0"/>
    <s v="Retail"/>
    <n v="1.3"/>
    <d v="2026-02-28T00:00:00"/>
    <s v="Short"/>
    <s v="Low"/>
    <s v="Convenience retail"/>
  </r>
  <r>
    <x v="1"/>
    <x v="0"/>
    <x v="0"/>
    <s v="Retail"/>
    <n v="2.5"/>
    <d v="1941-02-01T00:00:00"/>
    <s v="Long"/>
    <s v="Low"/>
    <s v="Convenience retail"/>
  </r>
  <r>
    <x v="2"/>
    <x v="0"/>
    <x v="0"/>
    <s v="Technology"/>
    <n v="3.25"/>
    <d v="2026-02-26T00:00:00"/>
    <s v="Short"/>
    <s v="Medium"/>
    <s v="Large tech"/>
  </r>
  <r>
    <x v="2"/>
    <x v="0"/>
    <x v="0"/>
    <s v="Technology"/>
    <n v="3.25"/>
    <d v="2026-08-29T00:00:00"/>
    <s v="Medium"/>
    <s v="Medium"/>
    <s v="Large tech"/>
  </r>
  <r>
    <x v="2"/>
    <x v="0"/>
    <x v="0"/>
    <s v="Technology"/>
    <n v="1.7"/>
    <d v="2026-08-31T00:00:00"/>
    <s v="Medium"/>
    <s v="Low"/>
    <s v="Large tech"/>
  </r>
  <r>
    <x v="3"/>
    <x v="0"/>
    <x v="0"/>
    <s v="Healthcare"/>
    <n v="6"/>
    <d v="1939-04-01T00:00:00"/>
    <s v="Long"/>
    <s v="High"/>
    <s v="Healthcare"/>
  </r>
  <r>
    <x v="3"/>
    <x v="0"/>
    <x v="0"/>
    <s v="Healthcare"/>
    <n v="4.75"/>
    <d v="1943-04-01T00:00:00"/>
    <s v="Long"/>
    <s v="Medium"/>
    <s v="Healthcare"/>
  </r>
  <r>
    <x v="4"/>
    <x v="0"/>
    <x v="0"/>
    <s v="Healthcare"/>
    <n v="4.4000000000000004"/>
    <d v="1942-11-01T00:00:00"/>
    <s v="Long"/>
    <s v="Medium"/>
    <s v="Pharma"/>
  </r>
  <r>
    <x v="5"/>
    <x v="0"/>
    <x v="0"/>
    <s v="Technology"/>
    <n v="2.2999999999999998"/>
    <d v="1930-02-01T00:00:00"/>
    <s v="Medium"/>
    <s v="Low"/>
    <s v="Software"/>
  </r>
  <r>
    <x v="6"/>
    <x v="0"/>
    <x v="0"/>
    <s v="Technology"/>
    <n v="3.9239999999999999"/>
    <d v="1932-06-01T00:00:00"/>
    <s v="Medium"/>
    <s v="Medium"/>
    <s v="Semiconductors"/>
  </r>
  <r>
    <x v="6"/>
    <x v="0"/>
    <x v="0"/>
    <s v="Technology"/>
    <n v="4.3929999999999998"/>
    <d v="1952-06-01T00:00:00"/>
    <s v="Very Long"/>
    <s v="Medium"/>
    <s v="Semiconductors"/>
  </r>
  <r>
    <x v="7"/>
    <x v="0"/>
    <x v="0"/>
    <s v="Technology"/>
    <n v="1.1000000000000001"/>
    <d v="2026-08-30T00:00:00"/>
    <s v="Medium"/>
    <s v="Low"/>
    <s v="Internet services"/>
  </r>
  <r>
    <x v="7"/>
    <x v="0"/>
    <x v="0"/>
    <s v="Technology"/>
    <n v="1.9"/>
    <d v="1940-08-01T00:00:00"/>
    <s v="Long"/>
    <s v="Low"/>
    <s v="Internet services"/>
  </r>
  <r>
    <x v="8"/>
    <x v="0"/>
    <x v="0"/>
    <s v="Insurance"/>
    <n v="7.5259999999999998"/>
    <d v="1953-08-01T00:00:00"/>
    <s v="Very Long"/>
    <s v="High"/>
    <s v="Insurance"/>
  </r>
  <r>
    <x v="9"/>
    <x v="0"/>
    <x v="0"/>
    <s v="Consumer Staples"/>
    <n v="10.199999999999999"/>
    <d v="1939-02-01T00:00:00"/>
    <s v="Long"/>
    <s v="High"/>
    <s v="Tobacco"/>
  </r>
  <r>
    <x v="9"/>
    <x v="0"/>
    <x v="0"/>
    <s v="Consumer Staples"/>
    <n v="9.9499999999999993"/>
    <d v="1938-11-01T00:00:00"/>
    <s v="Long"/>
    <s v="High"/>
    <s v="Tobacco"/>
  </r>
  <r>
    <x v="9"/>
    <x v="0"/>
    <x v="0"/>
    <s v="Consumer Staples"/>
    <n v="5.375"/>
    <d v="1944-01-01T00:00:00"/>
    <s v="Long"/>
    <s v="Medium"/>
    <s v="Tobacco"/>
  </r>
  <r>
    <x v="10"/>
    <x v="0"/>
    <x v="0"/>
    <s v="Materials"/>
    <n v="7.25"/>
    <d v="2026-11-28T00:00:00"/>
    <s v="Short"/>
    <s v="High"/>
    <s v="Aluminum"/>
  </r>
  <r>
    <x v="11"/>
    <x v="0"/>
    <x v="0"/>
    <s v="Utilities"/>
    <n v="3.8"/>
    <d v="2026-06-29T00:00:00"/>
    <s v="Medium"/>
    <s v="Low"/>
    <s v="Utilities"/>
  </r>
  <r>
    <x v="12"/>
    <x v="0"/>
    <x v="0"/>
    <s v="Insurance"/>
    <n v="6.9"/>
    <d v="1939-12-01T00:00:00"/>
    <s v="Long"/>
    <s v="High"/>
    <s v="Insurance"/>
  </r>
  <r>
    <x v="13"/>
    <x v="0"/>
    <x v="0"/>
    <s v="Materials"/>
    <n v="7.8"/>
    <d v="2026-02-27T00:00:00"/>
    <s v="Short"/>
    <s v="High"/>
    <s v="Fertilizers"/>
  </r>
  <r>
    <x v="14"/>
    <x v="0"/>
    <x v="0"/>
    <s v="Financials"/>
    <n v="3.125"/>
    <d v="2026-05-26T00:00:00"/>
    <s v="Short"/>
    <s v="Medium"/>
    <s v="Financial services"/>
  </r>
  <r>
    <x v="14"/>
    <x v="0"/>
    <x v="0"/>
    <s v="Financials"/>
    <n v="8.15"/>
    <d v="1938-03-01T00:00:00"/>
    <s v="Long"/>
    <s v="High"/>
    <s v="Financial services"/>
  </r>
  <r>
    <x v="15"/>
    <x v="0"/>
    <x v="0"/>
    <s v="Energy"/>
    <n v="2.85"/>
    <d v="1951-05-01T00:00:00"/>
    <s v="Very Long"/>
    <s v="Low"/>
    <s v="Energy"/>
  </r>
  <r>
    <x v="16"/>
    <x v="0"/>
    <x v="0"/>
    <s v="Materials"/>
    <n v="4.125"/>
    <d v="1942-02-01T00:00:00"/>
    <s v="Long"/>
    <s v="Medium"/>
    <s v="Mining"/>
  </r>
  <r>
    <x v="17"/>
    <x v="0"/>
    <x v="0"/>
    <s v="Financials"/>
    <n v="6.95"/>
    <d v="2026-05-29T00:00:00"/>
    <s v="Medium"/>
    <s v="High"/>
    <s v="Asset management"/>
  </r>
  <r>
    <x v="18"/>
    <x v="0"/>
    <x v="0"/>
    <s v="Technology"/>
    <n v="3.5"/>
    <d v="1931-06-01T00:00:00"/>
    <s v="Medium"/>
    <s v="Medium"/>
    <s v="Fintech"/>
  </r>
  <r>
    <x v="19"/>
    <x v="0"/>
    <x v="0"/>
    <s v="Industrials"/>
    <n v="6.875"/>
    <d v="1943-10-01T00:00:00"/>
    <s v="Long"/>
    <s v="High"/>
    <s v="Aerospace"/>
  </r>
  <r>
    <x v="20"/>
    <x v="0"/>
    <x v="0"/>
    <s v="Healthcare"/>
    <n v="4.55"/>
    <d v="1939-03-01T00:00:00"/>
    <s v="Long"/>
    <s v="Medium"/>
    <s v="Medical devices"/>
  </r>
  <r>
    <x v="21"/>
    <x v="0"/>
    <x v="0"/>
    <s v="Communications"/>
    <n v="3.15"/>
    <d v="2026-03-26T00:00:00"/>
    <s v="Short"/>
    <s v="Medium"/>
    <s v="Telecom"/>
  </r>
  <r>
    <x v="21"/>
    <x v="0"/>
    <x v="0"/>
    <s v="Communications"/>
    <n v="4.25"/>
    <d v="1933-01-01T00:00:00"/>
    <s v="Medium"/>
    <s v="Medium"/>
    <s v="Telecom"/>
  </r>
  <r>
    <x v="21"/>
    <x v="0"/>
    <x v="0"/>
    <s v="Communications"/>
    <n v="3.9689999999999999"/>
    <d v="1947-11-01T00:00:00"/>
    <s v="Long"/>
    <s v="Medium"/>
    <s v="Telecom"/>
  </r>
  <r>
    <x v="22"/>
    <x v="0"/>
    <x v="0"/>
    <s v="Financials"/>
    <n v="8.125"/>
    <d v="1939-07-01T00:00:00"/>
    <s v="Long"/>
    <s v="High"/>
    <s v="Banking"/>
  </r>
  <r>
    <x v="22"/>
    <x v="0"/>
    <x v="0"/>
    <s v="Financials"/>
    <n v="5.3"/>
    <d v="1944-05-01T00:00:00"/>
    <s v="Long"/>
    <s v="Medium"/>
    <s v="Banking"/>
  </r>
  <r>
    <x v="22"/>
    <x v="0"/>
    <x v="0"/>
    <s v="Financials"/>
    <n v="5.875"/>
    <d v="1942-01-01T00:00:00"/>
    <s v="Long"/>
    <s v="Medium"/>
    <s v="Banking"/>
  </r>
  <r>
    <x v="23"/>
    <x v="0"/>
    <x v="0"/>
    <s v="Consumer Discretionary"/>
    <n v="6.75"/>
    <d v="2026-05-31T00:00:00"/>
    <s v="Medium"/>
    <s v="High"/>
    <s v="Entertainment"/>
  </r>
  <r>
    <x v="24"/>
    <x v="0"/>
    <x v="0"/>
    <s v="Technology"/>
    <n v="5.9"/>
    <d v="1939-02-01T00:00:00"/>
    <s v="Long"/>
    <s v="Medium"/>
    <s v="Networking"/>
  </r>
  <r>
    <x v="25"/>
    <x v="0"/>
    <x v="0"/>
    <s v="Technology"/>
    <n v="4.8"/>
    <d v="2026-03-26T00:00:00"/>
    <s v="Short"/>
    <s v="Medium"/>
    <s v="Gaming"/>
  </r>
  <r>
    <x v="25"/>
    <x v="0"/>
    <x v="0"/>
    <s v="Technology"/>
    <n v="1.85"/>
    <d v="1931-02-01T00:00:00"/>
    <s v="Medium"/>
    <s v="Low"/>
    <s v="Gaming"/>
  </r>
  <r>
    <x v="26"/>
    <x v="0"/>
    <x v="0"/>
    <s v="Industrials"/>
    <n v="7.5"/>
    <d v="2026-08-26T00:00:00"/>
    <s v="Short"/>
    <s v="High"/>
    <s v="Automotive"/>
  </r>
  <r>
    <x v="26"/>
    <x v="0"/>
    <x v="0"/>
    <s v="Industrials"/>
    <n v="7.7"/>
    <d v="1997-05-01T00:00:00"/>
    <s v="Very Long"/>
    <s v="High"/>
    <s v="Automotive"/>
  </r>
  <r>
    <x v="27"/>
    <x v="0"/>
    <x v="0"/>
    <s v="Financials"/>
    <n v="6.25"/>
    <d v="1941-02-01T00:00:00"/>
    <s v="Long"/>
    <s v="Medium"/>
    <s v="Investment bank"/>
  </r>
  <r>
    <x v="28"/>
    <x v="0"/>
    <x v="0"/>
    <s v="Financials"/>
    <n v="6.5"/>
    <d v="1937-09-01T00:00:00"/>
    <s v="Long"/>
    <s v="Medium"/>
    <s v="Banking"/>
  </r>
  <r>
    <x v="29"/>
    <x v="0"/>
    <x v="0"/>
    <s v="Industrials"/>
    <n v="3.9"/>
    <d v="2026-07-27T00:00:00"/>
    <s v="Short"/>
    <s v="Medium"/>
    <s v="Airline"/>
  </r>
  <r>
    <x v="30"/>
    <x v="0"/>
    <x v="0"/>
    <s v="Technology"/>
    <n v="4.9000000000000004"/>
    <d v="1945-07-01T00:00:00"/>
    <s v="Long"/>
    <s v="Medium"/>
    <s v="Semiconductors"/>
  </r>
  <r>
    <x v="31"/>
    <x v="0"/>
    <x v="0"/>
    <s v="Financials"/>
    <n v="6.4"/>
    <d v="1938-05-01T00:00:00"/>
    <s v="Long"/>
    <s v="Medium"/>
    <s v="Banking"/>
  </r>
  <r>
    <x v="31"/>
    <x v="0"/>
    <x v="0"/>
    <s v="Financials"/>
    <n v="5.5"/>
    <d v="1940-10-01T00:00:00"/>
    <s v="Long"/>
    <s v="Medium"/>
    <s v="Banking"/>
  </r>
  <r>
    <x v="31"/>
    <x v="0"/>
    <x v="0"/>
    <s v="Financials"/>
    <n v="5.6"/>
    <d v="1941-07-01T00:00:00"/>
    <s v="Long"/>
    <s v="Medium"/>
    <s v="Banking"/>
  </r>
  <r>
    <x v="32"/>
    <x v="0"/>
    <x v="0"/>
    <s v="Healthcare"/>
    <n v="4.95"/>
    <d v="1933-05-01T00:00:00"/>
    <s v="Medium"/>
    <s v="Medium"/>
    <s v="Pharma"/>
  </r>
  <r>
    <x v="33"/>
    <x v="0"/>
    <x v="0"/>
    <s v="Consumer Staples"/>
    <n v="6.875"/>
    <d v="1939-01-01T00:00:00"/>
    <s v="Long"/>
    <s v="High"/>
    <s v="Food"/>
  </r>
  <r>
    <x v="33"/>
    <x v="0"/>
    <x v="0"/>
    <s v="Consumer Staples"/>
    <n v="6.5"/>
    <d v="1940-02-01T00:00:00"/>
    <s v="Long"/>
    <s v="Medium"/>
    <s v="Food"/>
  </r>
  <r>
    <x v="34"/>
    <x v="0"/>
    <x v="0"/>
    <s v="Financials"/>
    <n v="2.95"/>
    <d v="2026-06-29T00:00:00"/>
    <s v="Medium"/>
    <s v="Low"/>
    <s v="Payments"/>
  </r>
  <r>
    <x v="34"/>
    <x v="0"/>
    <x v="0"/>
    <s v="Financials"/>
    <n v="3.95"/>
    <d v="1948-02-01T00:00:00"/>
    <s v="Long"/>
    <s v="Medium"/>
    <s v="Payments"/>
  </r>
  <r>
    <x v="35"/>
    <x v="0"/>
    <x v="0"/>
    <s v="Insurance"/>
    <n v="10.75"/>
    <d v="1969-08-01T00:00:00"/>
    <s v="Very Long"/>
    <s v="High"/>
    <s v="Insurance"/>
  </r>
  <r>
    <x v="36"/>
    <x v="0"/>
    <x v="0"/>
    <s v="Technology"/>
    <n v="5.2"/>
    <d v="1939-06-01T00:00:00"/>
    <s v="Long"/>
    <s v="Medium"/>
    <s v="Software"/>
  </r>
  <r>
    <x v="37"/>
    <x v="0"/>
    <x v="0"/>
    <s v="Consumer Discretionary"/>
    <n v="3.625"/>
    <d v="1943-05-01T00:00:00"/>
    <s v="Long"/>
    <s v="Low"/>
    <s v="Apparel"/>
  </r>
  <r>
    <x v="38"/>
    <x v="0"/>
    <x v="0"/>
    <s v="Technology"/>
    <n v="2.85"/>
    <d v="2026-04-30T00:00:00"/>
    <s v="Medium"/>
    <s v="Low"/>
    <s v="Semiconductors"/>
  </r>
  <r>
    <x v="39"/>
    <x v="0"/>
    <x v="0"/>
    <s v="Healthcare"/>
    <n v="3.1680000000000001"/>
    <d v="1951-11-01T00:00:00"/>
    <s v="Very Long"/>
    <s v="Low"/>
    <s v="Healthcare"/>
  </r>
  <r>
    <x v="40"/>
    <x v="0"/>
    <x v="0"/>
    <s v="Financials"/>
    <n v="5.15"/>
    <d v="1934-06-01T00:00:00"/>
    <s v="Medium"/>
    <s v="Medium"/>
    <s v="Fintech"/>
  </r>
  <r>
    <x v="41"/>
    <x v="0"/>
    <x v="0"/>
    <s v="Consumer Staples"/>
    <n v="4.8460000000000001"/>
    <d v="2026-02-26T00:00:00"/>
    <s v="Short"/>
    <s v="Medium"/>
    <s v="Beverages"/>
  </r>
  <r>
    <x v="42"/>
    <x v="0"/>
    <x v="0"/>
    <s v="Healthcare"/>
    <n v="2.75"/>
    <d v="2026-06-26T00:00:00"/>
    <s v="Short"/>
    <s v="Low"/>
    <s v="Pharma"/>
  </r>
  <r>
    <x v="43"/>
    <x v="0"/>
    <x v="0"/>
    <s v="Utilities"/>
    <n v="4.2"/>
    <d v="1941-06-01T00:00:00"/>
    <s v="Long"/>
    <s v="Medium"/>
    <s v="Utilities"/>
  </r>
  <r>
    <x v="44"/>
    <x v="0"/>
    <x v="0"/>
    <s v="Consumer Staples"/>
    <n v="4.5"/>
    <d v="1942-03-01T00:00:00"/>
    <s v="Long"/>
    <s v="Medium"/>
    <s v="Tobacco"/>
  </r>
  <r>
    <x v="44"/>
    <x v="0"/>
    <x v="0"/>
    <s v="Consumer Staples"/>
    <n v="6.375"/>
    <d v="1938-05-01T00:00:00"/>
    <s v="Long"/>
    <s v="High"/>
    <s v="Tobacco"/>
  </r>
  <r>
    <x v="45"/>
    <x v="0"/>
    <x v="0"/>
    <s v="Consumer Staples"/>
    <n v="8"/>
    <d v="2026-10-29T00:00:00"/>
    <s v="Medium"/>
    <s v="High"/>
    <s v="Consumer goods"/>
  </r>
  <r>
    <x v="46"/>
    <x v="0"/>
    <x v="0"/>
    <s v="Consumer Discretionary"/>
    <n v="2.95"/>
    <d v="2026-06-30T00:00:00"/>
    <s v="Medium"/>
    <s v="Low"/>
    <s v="Apparel"/>
  </r>
  <r>
    <x v="47"/>
    <x v="0"/>
    <x v="0"/>
    <s v="Consumer Discretionary"/>
    <n v="4.75"/>
    <d v="2026-02-26T00:00:00"/>
    <s v="Short"/>
    <s v="Medium"/>
    <s v="Coffee"/>
  </r>
  <r>
    <x v="47"/>
    <x v="0"/>
    <x v="0"/>
    <s v="Consumer Discretionary"/>
    <n v="3"/>
    <d v="1932-02-01T00:00:00"/>
    <s v="Medium"/>
    <s v="Low"/>
    <s v="Coffee"/>
  </r>
  <r>
    <x v="48"/>
    <x v="0"/>
    <x v="0"/>
    <s v="Retail"/>
    <n v="2.35"/>
    <d v="1930-02-01T00:00:00"/>
    <s v="Medium"/>
    <s v="Low"/>
    <s v="Retail"/>
  </r>
  <r>
    <x v="48"/>
    <x v="0"/>
    <x v="0"/>
    <s v="Retail"/>
    <n v="4.4000000000000004"/>
    <d v="1933-01-01T00:00:00"/>
    <s v="Medium"/>
    <s v="Medium"/>
    <s v="Retail"/>
  </r>
  <r>
    <x v="49"/>
    <x v="0"/>
    <x v="0"/>
    <s v="Media"/>
    <n v="6.2"/>
    <d v="1934-12-01T00:00:00"/>
    <s v="Medium"/>
    <s v="High"/>
    <s v="Media"/>
  </r>
  <r>
    <x v="50"/>
    <x v="0"/>
    <x v="0"/>
    <s v="Industrials"/>
    <n v="4.875"/>
    <d v="1933-03-01T00:00:00"/>
    <s v="Medium"/>
    <s v="Medium"/>
    <s v="Logistics"/>
  </r>
  <r>
    <x v="50"/>
    <x v="0"/>
    <x v="0"/>
    <s v="Industrials"/>
    <n v="2.5"/>
    <d v="2026-09-29T00:00:00"/>
    <s v="Medium"/>
    <s v="Low"/>
    <s v="Logistics"/>
  </r>
  <r>
    <x v="51"/>
    <x v="0"/>
    <x v="0"/>
    <s v="Industrials"/>
    <n v="6.875"/>
    <d v="2026-03-29T00:00:00"/>
    <s v="Medium"/>
    <s v="High"/>
    <s v="Steel"/>
  </r>
  <r>
    <x v="52"/>
    <x v="0"/>
    <x v="0"/>
    <s v="Communications"/>
    <n v="2.625"/>
    <d v="2026-08-26T00:00:00"/>
    <s v="Short"/>
    <s v="Low"/>
    <s v="Telecom"/>
  </r>
  <r>
    <x v="52"/>
    <x v="0"/>
    <x v="0"/>
    <s v="Communications"/>
    <n v="5.1109999999999998"/>
    <d v="2026-03-26T00:00:00"/>
    <s v="Short"/>
    <s v="Medium"/>
    <s v="Telecom"/>
  </r>
  <r>
    <x v="53"/>
    <x v="0"/>
    <x v="0"/>
    <s v="Utilities"/>
    <n v="7.75"/>
    <d v="1932-05-01T00:00:00"/>
    <s v="Medium"/>
    <s v="High"/>
    <s v="Waste services"/>
  </r>
  <r>
    <x v="54"/>
    <x v="0"/>
    <x v="0"/>
    <s v="Financials"/>
    <n v="1.35"/>
    <d v="2026-03-26T00:00:00"/>
    <s v="Short"/>
    <s v="Low"/>
    <s v="Payments"/>
  </r>
  <r>
    <x v="55"/>
    <x v="0"/>
    <x v="0"/>
    <s v="Retail"/>
    <n v="5.25"/>
    <d v="1935-09-01T00:00:00"/>
    <s v="Long"/>
    <s v="Medium"/>
    <s v="Retail"/>
  </r>
  <r>
    <x v="55"/>
    <x v="0"/>
    <x v="0"/>
    <s v="Retail"/>
    <n v="6.5"/>
    <d v="1937-08-01T00:00:00"/>
    <s v="Long"/>
    <s v="High"/>
    <s v="Retail"/>
  </r>
  <r>
    <x v="55"/>
    <x v="0"/>
    <x v="0"/>
    <s v="Retail"/>
    <n v="6.2"/>
    <d v="1938-04-01T00:00:00"/>
    <s v="Long"/>
    <s v="High"/>
    <s v="Retail"/>
  </r>
  <r>
    <x v="55"/>
    <x v="0"/>
    <x v="0"/>
    <s v="Retail"/>
    <n v="5"/>
    <d v="1940-10-01T00:00:00"/>
    <s v="Long"/>
    <s v="Medium"/>
    <s v="Retail"/>
  </r>
  <r>
    <x v="55"/>
    <x v="0"/>
    <x v="0"/>
    <s v="Retail"/>
    <n v="5.625"/>
    <d v="1941-04-01T00:00:00"/>
    <s v="Long"/>
    <s v="Medium"/>
    <s v="Retail"/>
  </r>
  <r>
    <x v="56"/>
    <x v="0"/>
    <x v="0"/>
    <s v="Financials"/>
    <n v="5.375"/>
    <d v="1943-11-01T00:00:00"/>
    <s v="Long"/>
    <s v="Medium"/>
    <s v="Banking"/>
  </r>
  <r>
    <x v="57"/>
    <x v="0"/>
    <x v="1"/>
    <s v="Government"/>
    <n v="7.625"/>
    <d v="2025-02-15T00:00:00"/>
    <s v="Short"/>
    <s v="High"/>
    <s v="Very short maturity"/>
  </r>
  <r>
    <x v="57"/>
    <x v="0"/>
    <x v="1"/>
    <s v="Government"/>
    <n v="6.5"/>
    <d v="2026-11-15T00:00:00"/>
    <s v="Short"/>
    <s v="High"/>
    <s v="Short maturity"/>
  </r>
  <r>
    <x v="57"/>
    <x v="0"/>
    <x v="1"/>
    <s v="Government"/>
    <n v="6.625"/>
    <d v="2027-02-15T00:00:00"/>
    <s v="Short"/>
    <s v="High"/>
    <s v="Short maturity"/>
  </r>
  <r>
    <x v="57"/>
    <x v="0"/>
    <x v="1"/>
    <s v="Government"/>
    <n v="2.25"/>
    <d v="2027-08-15T00:00:00"/>
    <s v="Short"/>
    <s v="Low"/>
    <s v="Short maturity"/>
  </r>
  <r>
    <x v="57"/>
    <x v="0"/>
    <x v="1"/>
    <s v="Government"/>
    <n v="6.75"/>
    <d v="2026-08-15T00:00:00"/>
    <s v="Short"/>
    <s v="High"/>
    <s v="Short maturity"/>
  </r>
  <r>
    <x v="57"/>
    <x v="0"/>
    <x v="1"/>
    <s v="Government"/>
    <n v="6.5"/>
    <d v="2026-11-15T00:00:00"/>
    <s v="Short"/>
    <s v="High"/>
    <s v="Short maturity"/>
  </r>
  <r>
    <x v="57"/>
    <x v="0"/>
    <x v="1"/>
    <s v="Government"/>
    <n v="2.75"/>
    <d v="2028-02-15T00:00:00"/>
    <s v="Short"/>
    <s v="Medium"/>
    <s v="Short maturity"/>
  </r>
  <r>
    <x v="57"/>
    <x v="0"/>
    <x v="1"/>
    <s v="Government"/>
    <n v="5.5"/>
    <d v="2028-08-15T00:00:00"/>
    <s v="Medium"/>
    <s v="Medium"/>
    <s v="Medium maturity"/>
  </r>
  <r>
    <x v="57"/>
    <x v="0"/>
    <x v="1"/>
    <s v="Government"/>
    <n v="5.25"/>
    <d v="2028-11-15T00:00:00"/>
    <s v="Medium"/>
    <s v="Medium"/>
    <s v="Medium maturity"/>
  </r>
  <r>
    <x v="57"/>
    <x v="0"/>
    <x v="1"/>
    <s v="Government"/>
    <n v="5.25"/>
    <d v="2029-02-15T00:00:00"/>
    <s v="Medium"/>
    <s v="Medium"/>
    <s v="Medium maturity"/>
  </r>
  <r>
    <x v="57"/>
    <x v="0"/>
    <x v="1"/>
    <s v="Government"/>
    <n v="6.125"/>
    <d v="2029-03-15T00:00:00"/>
    <s v="Medium"/>
    <s v="High"/>
    <s v="Medium maturity"/>
  </r>
  <r>
    <x v="57"/>
    <x v="0"/>
    <x v="1"/>
    <s v="Government"/>
    <n v="6.25"/>
    <d v="1930-05-15T00:00:00"/>
    <s v="Medium"/>
    <s v="High"/>
    <s v="Medium maturity"/>
  </r>
  <r>
    <x v="57"/>
    <x v="0"/>
    <x v="1"/>
    <s v="Government"/>
    <n v="5.375"/>
    <d v="1931-02-15T00:00:00"/>
    <s v="Medium"/>
    <s v="Medium"/>
    <s v="Medium maturity"/>
  </r>
  <r>
    <x v="57"/>
    <x v="0"/>
    <x v="1"/>
    <s v="Government"/>
    <n v="4.5"/>
    <d v="1936-02-15T00:00:00"/>
    <s v="Long"/>
    <s v="Medium"/>
    <s v="Long duration"/>
  </r>
  <r>
    <x v="57"/>
    <x v="0"/>
    <x v="1"/>
    <s v="Government"/>
    <n v="4.75"/>
    <d v="1937-02-15T00:00:00"/>
    <s v="Long"/>
    <s v="Medium"/>
    <s v="Long duration"/>
  </r>
  <r>
    <x v="57"/>
    <x v="0"/>
    <x v="1"/>
    <s v="Government"/>
    <n v="4.375"/>
    <d v="1938-02-15T00:00:00"/>
    <s v="Long"/>
    <s v="Medium"/>
    <s v="Long duration"/>
  </r>
  <r>
    <x v="57"/>
    <x v="0"/>
    <x v="1"/>
    <s v="Government"/>
    <n v="4.5"/>
    <d v="1938-05-15T00:00:00"/>
    <s v="Long"/>
    <s v="Medium"/>
    <s v="Long duration"/>
  </r>
  <r>
    <x v="57"/>
    <x v="0"/>
    <x v="1"/>
    <s v="Government"/>
    <n v="4.25"/>
    <d v="1939-05-15T00:00:00"/>
    <s v="Long"/>
    <s v="Medium"/>
    <s v="Long duration"/>
  </r>
  <r>
    <x v="57"/>
    <x v="0"/>
    <x v="1"/>
    <s v="Government"/>
    <m/>
    <m/>
    <m/>
    <m/>
    <m/>
  </r>
  <r>
    <x v="58"/>
    <x v="1"/>
    <x v="0"/>
    <s v="Financials"/>
    <n v="5.75"/>
    <d v="1932-12-01T00:00:00"/>
    <s v="Medium"/>
    <s v="Medium"/>
    <s v="Private equity group"/>
  </r>
  <r>
    <x v="58"/>
    <x v="1"/>
    <x v="0"/>
    <s v="Financials"/>
    <n v="3.75"/>
    <d v="1940-06-01T00:00:00"/>
    <s v="Long"/>
    <s v="Low"/>
    <s v="Private equity group"/>
  </r>
  <r>
    <x v="59"/>
    <x v="1"/>
    <x v="0"/>
    <s v="Insurance"/>
    <n v="6.125"/>
    <d v="1936-11-01T00:00:00"/>
    <s v="Long"/>
    <s v="Medium"/>
    <s v="Insurance"/>
  </r>
  <r>
    <x v="59"/>
    <x v="1"/>
    <x v="0"/>
    <s v="Insurance"/>
    <n v="4.375"/>
    <d v="1949-09-01T00:00:00"/>
    <s v="Very Long"/>
    <s v="Medium"/>
    <s v="Insurance"/>
  </r>
  <r>
    <x v="60"/>
    <x v="1"/>
    <x v="0"/>
    <s v="Energy"/>
    <n v="5.7729999999999997"/>
    <d v="1938-05-01T00:00:00"/>
    <s v="Long"/>
    <s v="Medium"/>
    <s v="Oil &amp; gas"/>
  </r>
  <r>
    <x v="61"/>
    <x v="1"/>
    <x v="0"/>
    <s v="Communications"/>
    <n v="5.75"/>
    <d v="2026-12-28T00:00:00"/>
    <s v="Short"/>
    <s v="Medium"/>
    <s v="Telecom"/>
  </r>
  <r>
    <x v="61"/>
    <x v="1"/>
    <x v="0"/>
    <s v="Communications"/>
    <n v="3.125"/>
    <d v="1931-11-01T00:00:00"/>
    <s v="Medium"/>
    <s v="Low"/>
    <s v="Telecom"/>
  </r>
  <r>
    <x v="61"/>
    <x v="1"/>
    <x v="0"/>
    <s v="Communications"/>
    <n v="6.375"/>
    <d v="1937-06-01T00:00:00"/>
    <s v="Long"/>
    <s v="Medium"/>
    <s v="Telecom"/>
  </r>
  <r>
    <x v="62"/>
    <x v="1"/>
    <x v="0"/>
    <s v="Consumer Discretionary"/>
    <n v="5.75"/>
    <d v="2026-06-30T00:00:00"/>
    <s v="Medium"/>
    <s v="Medium"/>
    <s v="Luxury retail"/>
  </r>
  <r>
    <x v="28"/>
    <x v="1"/>
    <x v="0"/>
    <s v="Financials"/>
    <n v="5.375"/>
    <d v="2026-11-30T00:00:00"/>
    <s v="Medium"/>
    <s v="Medium"/>
    <s v="Banking"/>
  </r>
  <r>
    <x v="28"/>
    <x v="1"/>
    <x v="0"/>
    <s v="Financials"/>
    <n v="6"/>
    <d v="1940-03-01T00:00:00"/>
    <s v="Long"/>
    <s v="Medium"/>
    <s v="Banking"/>
  </r>
  <r>
    <x v="63"/>
    <x v="1"/>
    <x v="0"/>
    <s v="Financials"/>
    <n v="2"/>
    <d v="2026-04-28T00:00:00"/>
    <s v="Short"/>
    <s v="Low"/>
    <s v="Banking"/>
  </r>
  <r>
    <x v="63"/>
    <x v="1"/>
    <x v="0"/>
    <s v="Financials"/>
    <n v="5.25"/>
    <d v="2026-10-30T00:00:00"/>
    <s v="Medium"/>
    <s v="Medium"/>
    <s v="Banking"/>
  </r>
  <r>
    <x v="63"/>
    <x v="1"/>
    <x v="0"/>
    <s v="Financials"/>
    <n v="6.625"/>
    <d v="1933-06-01T00:00:00"/>
    <s v="Medium"/>
    <s v="High"/>
    <s v="Banking"/>
  </r>
  <r>
    <x v="64"/>
    <x v="1"/>
    <x v="0"/>
    <s v="Energy"/>
    <n v="1"/>
    <d v="2026-12-30T00:00:00"/>
    <s v="Medium"/>
    <s v="Low"/>
    <s v="Oil &amp; gas"/>
  </r>
  <r>
    <x v="64"/>
    <x v="1"/>
    <x v="0"/>
    <s v="Energy"/>
    <n v="1.75"/>
    <d v="1952-09-01T00:00:00"/>
    <s v="Very Long"/>
    <s v="Low"/>
    <s v="Oil &amp; gas"/>
  </r>
  <r>
    <x v="65"/>
    <x v="1"/>
    <x v="0"/>
    <s v="Consumer Staples"/>
    <n v="6"/>
    <d v="2026-12-29T00:00:00"/>
    <s v="Medium"/>
    <s v="Medium"/>
    <s v="Grocery retail"/>
  </r>
  <r>
    <x v="65"/>
    <x v="1"/>
    <x v="0"/>
    <s v="Consumer Staples"/>
    <n v="5.5"/>
    <d v="1933-01-01T00:00:00"/>
    <s v="Medium"/>
    <s v="Medium"/>
    <s v="Grocery retail"/>
  </r>
  <r>
    <x v="66"/>
    <x v="1"/>
    <x v="1"/>
    <s v="Government"/>
    <n v="6"/>
    <d v="2028-12-07T00:00:00"/>
    <s v="Medium"/>
    <s v="High"/>
    <s v="UK Gilt"/>
  </r>
  <r>
    <x v="66"/>
    <x v="1"/>
    <x v="1"/>
    <s v="Government"/>
    <n v="1"/>
    <d v="1932-01-31T00:00:00"/>
    <s v="Medium"/>
    <s v="Low"/>
    <s v="UK Gilt"/>
  </r>
  <r>
    <x v="66"/>
    <x v="1"/>
    <x v="1"/>
    <s v="Government"/>
    <n v="4.25"/>
    <d v="1932-06-07T00:00:00"/>
    <s v="Medium"/>
    <s v="Medium"/>
    <s v="UK Gilt"/>
  </r>
  <r>
    <x v="66"/>
    <x v="1"/>
    <x v="1"/>
    <s v="Government"/>
    <n v="3.25"/>
    <d v="1933-01-31T00:00:00"/>
    <s v="Medium"/>
    <s v="Medium"/>
    <s v="UK Gilt"/>
  </r>
  <r>
    <x v="67"/>
    <x v="2"/>
    <x v="0"/>
    <s v="Materials"/>
    <n v="0.875"/>
    <d v="1931-06-01T00:00:00"/>
    <s v="Medium"/>
    <s v="Low"/>
    <s v="Chemicals"/>
  </r>
  <r>
    <x v="68"/>
    <x v="2"/>
    <x v="0"/>
    <s v="Financials"/>
    <n v="5.375"/>
    <d v="2026-01-29T00:00:00"/>
    <s v="Medium"/>
    <s v="Medium"/>
    <s v="Banking"/>
  </r>
  <r>
    <x v="68"/>
    <x v="2"/>
    <x v="0"/>
    <s v="Financials"/>
    <n v="4.25"/>
    <d v="1932-07-01T00:00:00"/>
    <s v="Medium"/>
    <s v="Medium"/>
    <s v="Banking"/>
  </r>
  <r>
    <x v="68"/>
    <x v="2"/>
    <x v="0"/>
    <s v="Financials"/>
    <n v="3.5"/>
    <d v="1948-04-01T00:00:00"/>
    <s v="Long"/>
    <s v="Medium"/>
    <s v="Banking"/>
  </r>
  <r>
    <x v="69"/>
    <x v="2"/>
    <x v="0"/>
    <s v="Communications"/>
    <n v="1.75"/>
    <d v="2026-03-31T00:00:00"/>
    <s v="Medium"/>
    <s v="Low"/>
    <s v="Telecom"/>
  </r>
  <r>
    <x v="69"/>
    <x v="2"/>
    <x v="0"/>
    <s v="Communications"/>
    <n v="2.25"/>
    <d v="1939-03-01T00:00:00"/>
    <s v="Long"/>
    <s v="Low"/>
    <s v="Telecom"/>
  </r>
  <r>
    <x v="70"/>
    <x v="2"/>
    <x v="0"/>
    <s v="Technology"/>
    <n v="2"/>
    <d v="1932-06-01T00:00:00"/>
    <s v="Medium"/>
    <s v="Low"/>
    <s v="Semiconductors"/>
  </r>
  <r>
    <x v="71"/>
    <x v="2"/>
    <x v="0"/>
    <s v="Industrials"/>
    <n v="1.5"/>
    <d v="2026-03-29T00:00:00"/>
    <s v="Medium"/>
    <s v="Low"/>
    <s v="Automotive"/>
  </r>
  <r>
    <x v="71"/>
    <x v="2"/>
    <x v="0"/>
    <s v="Industrials"/>
    <n v="2.125"/>
    <d v="1937-03-01T00:00:00"/>
    <s v="Long"/>
    <s v="Low"/>
    <s v="Automotive"/>
  </r>
  <r>
    <x v="72"/>
    <x v="2"/>
    <x v="0"/>
    <s v="Healthcare"/>
    <n v="2.875"/>
    <d v="1979-06-01T00:00:00"/>
    <s v="Very Long"/>
    <s v="Low"/>
    <s v="Pharma"/>
  </r>
  <r>
    <x v="72"/>
    <x v="2"/>
    <x v="0"/>
    <s v="Healthcare"/>
    <n v="3.875"/>
    <d v="1954-08-01T00:00:00"/>
    <s v="Very Long"/>
    <s v="Medium"/>
    <s v="Pharma"/>
  </r>
  <r>
    <x v="73"/>
    <x v="2"/>
    <x v="0"/>
    <s v="Industrials"/>
    <n v="0.05"/>
    <d v="2026-03-27T00:00:00"/>
    <s v="Short"/>
    <s v="Low"/>
    <s v="Aerospace"/>
  </r>
  <r>
    <x v="74"/>
    <x v="2"/>
    <x v="0"/>
    <s v="Industrials"/>
    <n v="1.875"/>
    <d v="2026-02-28T00:00:00"/>
    <s v="Short"/>
    <s v="Low"/>
    <s v="Defense"/>
  </r>
  <r>
    <x v="74"/>
    <x v="2"/>
    <x v="0"/>
    <s v="Industrials"/>
    <n v="2.25"/>
    <d v="2026-07-30T00:00:00"/>
    <s v="Medium"/>
    <s v="Low"/>
    <s v="Defense"/>
  </r>
  <r>
    <x v="75"/>
    <x v="2"/>
    <x v="0"/>
    <s v="Technology"/>
    <n v="1.25"/>
    <d v="2026-03-28T00:00:00"/>
    <s v="Short"/>
    <s v="Low"/>
    <s v="Software"/>
  </r>
  <r>
    <x v="75"/>
    <x v="2"/>
    <x v="0"/>
    <s v="Technology"/>
    <n v="1.625"/>
    <d v="2026-03-31T00:00:00"/>
    <s v="Medium"/>
    <s v="Low"/>
    <s v="Software"/>
  </r>
  <r>
    <x v="76"/>
    <x v="2"/>
    <x v="0"/>
    <s v="Industrials"/>
    <n v="2.875"/>
    <d v="2026-03-28T00:00:00"/>
    <s v="Short"/>
    <s v="Low"/>
    <s v="Industrial conglomerate"/>
  </r>
  <r>
    <x v="77"/>
    <x v="2"/>
    <x v="1"/>
    <s v="Government"/>
    <n v="2.1"/>
    <d v="2029-11-15T00:00:00"/>
    <s v="Medium"/>
    <s v="Low"/>
    <s v="German Bund"/>
  </r>
  <r>
    <x v="77"/>
    <x v="2"/>
    <x v="1"/>
    <s v="Government"/>
    <n v="6.25"/>
    <d v="1930-01-04T00:00:00"/>
    <s v="Medium"/>
    <s v="High"/>
    <s v="German Bund"/>
  </r>
  <r>
    <x v="77"/>
    <x v="2"/>
    <x v="1"/>
    <s v="Government"/>
    <n v="4.75"/>
    <d v="1940-07-04T00:00:00"/>
    <s v="Long"/>
    <s v="Medium"/>
    <s v="German Bund"/>
  </r>
  <r>
    <x v="77"/>
    <x v="2"/>
    <x v="1"/>
    <s v="Government"/>
    <n v="1.25"/>
    <d v="1948-11-15T00:00:00"/>
    <s v="Very Long"/>
    <s v="Low"/>
    <s v="German Bund"/>
  </r>
  <r>
    <x v="78"/>
    <x v="3"/>
    <x v="0"/>
    <s v="Insurance"/>
    <n v="3.25"/>
    <d v="2026-05-29T00:00:00"/>
    <s v="Medium"/>
    <s v="Medium"/>
    <s v="Insurance"/>
  </r>
  <r>
    <x v="78"/>
    <x v="3"/>
    <x v="0"/>
    <s v="Insurance"/>
    <n v="3.75"/>
    <d v="2026-10-30T00:00:00"/>
    <s v="Medium"/>
    <s v="Medium"/>
    <s v="Insurance"/>
  </r>
  <r>
    <x v="79"/>
    <x v="3"/>
    <x v="0"/>
    <s v="Financials"/>
    <n v="5.25"/>
    <d v="1933-09-01T00:00:00"/>
    <s v="Medium"/>
    <s v="Medium"/>
    <s v="Banking"/>
  </r>
  <r>
    <x v="80"/>
    <x v="3"/>
    <x v="0"/>
    <s v="Consumer Staples"/>
    <n v="3.706"/>
    <d v="2026-11-29T00:00:00"/>
    <s v="Medium"/>
    <s v="Medium"/>
    <s v="Food &amp; beverages"/>
  </r>
  <r>
    <x v="81"/>
    <x v="3"/>
    <x v="0"/>
    <s v="Industrials"/>
    <n v="1.375"/>
    <d v="2026-04-30T00:00:00"/>
    <s v="Medium"/>
    <s v="Low"/>
    <s v="Industrial gases"/>
  </r>
  <r>
    <x v="82"/>
    <x v="3"/>
    <x v="0"/>
    <s v="Consumer Staples"/>
    <n v="2.875"/>
    <d v="2026-05-28T00:00:00"/>
    <s v="Short"/>
    <s v="Low"/>
    <s v="Cosmetics"/>
  </r>
  <r>
    <x v="83"/>
    <x v="3"/>
    <x v="0"/>
    <s v="Consumer Discretionary"/>
    <n v="3.5"/>
    <d v="1933-09-01T00:00:00"/>
    <s v="Medium"/>
    <s v="Medium"/>
    <s v="Luxury"/>
  </r>
  <r>
    <x v="84"/>
    <x v="3"/>
    <x v="0"/>
    <s v="Healthcare"/>
    <n v="1.875"/>
    <d v="1938-03-01T00:00:00"/>
    <s v="Long"/>
    <s v="Low"/>
    <s v="Pharma"/>
  </r>
  <r>
    <x v="85"/>
    <x v="3"/>
    <x v="0"/>
    <s v="Industrials"/>
    <n v="3.375"/>
    <d v="1936-09-01T00:00:00"/>
    <s v="Long"/>
    <s v="Medium"/>
    <s v="Energy management"/>
  </r>
  <r>
    <x v="86"/>
    <x v="3"/>
    <x v="0"/>
    <s v="Industrials"/>
    <n v="4.125"/>
    <d v="2026-10-28T00:00:00"/>
    <s v="Short"/>
    <s v="Medium"/>
    <s v="Defense"/>
  </r>
  <r>
    <x v="86"/>
    <x v="3"/>
    <x v="0"/>
    <s v="Industrials"/>
    <n v="4.25"/>
    <d v="2026-10-31T00:00:00"/>
    <s v="Medium"/>
    <s v="Medium"/>
    <s v="Defense"/>
  </r>
  <r>
    <x v="87"/>
    <x v="3"/>
    <x v="0"/>
    <s v="Energy"/>
    <n v="1.375"/>
    <d v="2026-10-29T00:00:00"/>
    <s v="Medium"/>
    <s v="Low"/>
    <s v="Energy"/>
  </r>
  <r>
    <x v="87"/>
    <x v="3"/>
    <x v="0"/>
    <s v="Energy"/>
    <n v="1.5349999999999999"/>
    <d v="1939-05-01T00:00:00"/>
    <s v="Long"/>
    <s v="Low"/>
    <s v="Energy"/>
  </r>
  <r>
    <x v="88"/>
    <x v="3"/>
    <x v="0"/>
    <s v="Industrials"/>
    <n v="1.625"/>
    <d v="2026-01-29T00:00:00"/>
    <s v="Medium"/>
    <s v="Low"/>
    <s v="Infrastructure"/>
  </r>
  <r>
    <x v="89"/>
    <x v="3"/>
    <x v="1"/>
    <s v="Government"/>
    <n v="5.75"/>
    <d v="1932-10-25T00:00:00"/>
    <s v="Medium"/>
    <s v="Medium"/>
    <s v="OAT"/>
  </r>
  <r>
    <x v="89"/>
    <x v="3"/>
    <x v="1"/>
    <s v="Government"/>
    <n v="4.75"/>
    <d v="1935-04-25T00:00:00"/>
    <s v="Long"/>
    <s v="Medium"/>
    <s v="OAT"/>
  </r>
  <r>
    <x v="89"/>
    <x v="3"/>
    <x v="1"/>
    <s v="Government"/>
    <n v="2.5"/>
    <d v="1943-05-25T00:00:00"/>
    <s v="Long"/>
    <s v="Low"/>
    <s v="OAT"/>
  </r>
  <r>
    <x v="89"/>
    <x v="3"/>
    <x v="1"/>
    <s v="Government"/>
    <n v="3.25"/>
    <d v="1945-05-25T00:00:00"/>
    <s v="Long"/>
    <s v="Medium"/>
    <s v="OAT"/>
  </r>
  <r>
    <x v="90"/>
    <x v="4"/>
    <x v="0"/>
    <s v="Technology"/>
    <n v="2.25"/>
    <d v="1932-05-01T00:00:00"/>
    <s v="Medium"/>
    <s v="Low"/>
    <s v="Semiconductors"/>
  </r>
  <r>
    <x v="91"/>
    <x v="4"/>
    <x v="0"/>
    <s v="Financials"/>
    <n v="1.75"/>
    <d v="2026-01-28T00:00:00"/>
    <s v="Short"/>
    <s v="Low"/>
    <s v="Holding company"/>
  </r>
  <r>
    <x v="91"/>
    <x v="4"/>
    <x v="0"/>
    <s v="Financials"/>
    <n v="3.75"/>
    <d v="1933-02-01T00:00:00"/>
    <s v="Medium"/>
    <s v="Medium"/>
    <s v="Holding company"/>
  </r>
  <r>
    <x v="92"/>
    <x v="4"/>
    <x v="0"/>
    <s v="Consumer Staples"/>
    <n v="3.875"/>
    <d v="2026-09-30T00:00:00"/>
    <s v="Medium"/>
    <s v="Medium"/>
    <s v="Beverages"/>
  </r>
  <r>
    <x v="93"/>
    <x v="4"/>
    <x v="0"/>
    <s v="Healthcare"/>
    <n v="1.375"/>
    <d v="2026-05-28T00:00:00"/>
    <s v="Short"/>
    <s v="Low"/>
    <s v="Health technology"/>
  </r>
  <r>
    <x v="93"/>
    <x v="4"/>
    <x v="0"/>
    <s v="Healthcare"/>
    <n v="2.125"/>
    <d v="2026-11-29T00:00:00"/>
    <s v="Medium"/>
    <s v="Low"/>
    <s v="Health technology"/>
  </r>
  <r>
    <x v="94"/>
    <x v="4"/>
    <x v="0"/>
    <s v="Communications"/>
    <n v="3.875"/>
    <d v="2026-07-31T00:00:00"/>
    <s v="Medium"/>
    <s v="Medium"/>
    <s v="Telecom"/>
  </r>
  <r>
    <x v="94"/>
    <x v="4"/>
    <x v="0"/>
    <s v="Communications"/>
    <n v="5.75"/>
    <d v="2026-09-29T00:00:00"/>
    <s v="Medium"/>
    <s v="Medium"/>
    <s v="Telecom"/>
  </r>
  <r>
    <x v="95"/>
    <x v="4"/>
    <x v="0"/>
    <s v="Technology"/>
    <n v="1.288"/>
    <d v="2026-07-29T00:00:00"/>
    <s v="Medium"/>
    <s v="Low"/>
    <s v="Internet / platforms"/>
  </r>
  <r>
    <x v="95"/>
    <x v="4"/>
    <x v="0"/>
    <s v="Technology"/>
    <n v="2.0310000000000001"/>
    <d v="1932-08-01T00:00:00"/>
    <s v="Medium"/>
    <s v="Low"/>
    <s v="Internet / platforms"/>
  </r>
  <r>
    <x v="96"/>
    <x v="4"/>
    <x v="0"/>
    <s v="Industrials"/>
    <n v="2.75"/>
    <d v="1932-04-01T00:00:00"/>
    <s v="Medium"/>
    <s v="Low"/>
    <s v="Automotive"/>
  </r>
  <r>
    <x v="96"/>
    <x v="4"/>
    <x v="0"/>
    <s v="Industrials"/>
    <n v="3.5"/>
    <d v="2026-09-30T00:00:00"/>
    <s v="Medium"/>
    <s v="Medium"/>
    <s v="Automotive"/>
  </r>
  <r>
    <x v="96"/>
    <x v="4"/>
    <x v="0"/>
    <s v="Industrials"/>
    <n v="4"/>
    <d v="1934-03-01T00:00:00"/>
    <s v="Long"/>
    <s v="Medium"/>
    <s v="Automotive"/>
  </r>
  <r>
    <x v="97"/>
    <x v="4"/>
    <x v="0"/>
    <s v="Technology"/>
    <n v="1.5"/>
    <d v="2026-03-27T00:00:00"/>
    <s v="Short"/>
    <s v="Low"/>
    <s v="Information services"/>
  </r>
  <r>
    <x v="97"/>
    <x v="4"/>
    <x v="0"/>
    <s v="Technology"/>
    <n v="3.75"/>
    <d v="1931-04-01T00:00:00"/>
    <s v="Medium"/>
    <s v="Medium"/>
    <s v="Information services"/>
  </r>
  <r>
    <x v="98"/>
    <x v="4"/>
    <x v="1"/>
    <s v="Government"/>
    <n v="2.5"/>
    <d v="1930-01-15T00:00:00"/>
    <s v="Medium"/>
    <s v="Low"/>
    <s v="Dutch State Loan"/>
  </r>
  <r>
    <x v="98"/>
    <x v="4"/>
    <x v="1"/>
    <s v="Government"/>
    <n v="4"/>
    <d v="1937-01-15T00:00:00"/>
    <s v="Long"/>
    <s v="Medium"/>
    <s v="Dutch State Loan"/>
  </r>
  <r>
    <x v="98"/>
    <x v="4"/>
    <x v="1"/>
    <s v="Government"/>
    <n v="3.75"/>
    <d v="1942-01-15T00:00:00"/>
    <s v="Long"/>
    <s v="Medium"/>
    <s v="Dutch State Loan"/>
  </r>
  <r>
    <x v="98"/>
    <x v="4"/>
    <x v="1"/>
    <s v="Government"/>
    <n v="2"/>
    <d v="1954-01-15T00:00:00"/>
    <s v="Very Long"/>
    <s v="Low"/>
    <s v="Dutch State Loan"/>
  </r>
  <r>
    <x v="99"/>
    <x v="5"/>
    <x v="0"/>
    <s v="Financials"/>
    <n v="3.375"/>
    <d v="1932-01-01T00:00:00"/>
    <s v="Medium"/>
    <s v="Medium"/>
    <s v="Banking"/>
  </r>
  <r>
    <x v="99"/>
    <x v="5"/>
    <x v="0"/>
    <s v="Financials"/>
    <n v="4.625"/>
    <d v="2026-11-27T00:00:00"/>
    <s v="Short"/>
    <s v="Medium"/>
    <s v="Banking"/>
  </r>
  <r>
    <x v="100"/>
    <x v="5"/>
    <x v="0"/>
    <s v="Utilities"/>
    <n v="3.875"/>
    <d v="2026-03-29T00:00:00"/>
    <s v="Medium"/>
    <s v="Medium"/>
    <s v="Electricity"/>
  </r>
  <r>
    <x v="101"/>
    <x v="5"/>
    <x v="0"/>
    <s v="Energy"/>
    <n v="3.625"/>
    <d v="2026-01-29T00:00:00"/>
    <s v="Medium"/>
    <s v="Medium"/>
    <s v="Oil &amp; gas"/>
  </r>
  <r>
    <x v="101"/>
    <x v="5"/>
    <x v="0"/>
    <s v="Energy"/>
    <n v="4.25"/>
    <d v="1933-05-01T00:00:00"/>
    <s v="Medium"/>
    <s v="Medium"/>
    <s v="Oil &amp; gas"/>
  </r>
  <r>
    <x v="102"/>
    <x v="5"/>
    <x v="0"/>
    <s v="Financials"/>
    <n v="3.625"/>
    <d v="2026-06-28T00:00:00"/>
    <s v="Short"/>
    <s v="Medium"/>
    <s v="Banking"/>
  </r>
  <r>
    <x v="102"/>
    <x v="5"/>
    <x v="0"/>
    <s v="Financials"/>
    <n v="4.875"/>
    <d v="2026-05-30T00:00:00"/>
    <s v="Medium"/>
    <s v="Medium"/>
    <s v="Banking"/>
  </r>
  <r>
    <x v="103"/>
    <x v="5"/>
    <x v="0"/>
    <s v="Insurance"/>
    <n v="3.2120000000000002"/>
    <d v="2026-01-29T00:00:00"/>
    <s v="Medium"/>
    <s v="Medium"/>
    <s v="Insurance"/>
  </r>
  <r>
    <x v="103"/>
    <x v="5"/>
    <x v="0"/>
    <s v="Insurance"/>
    <n v="5.5"/>
    <d v="1947-10-01T00:00:00"/>
    <s v="Long"/>
    <s v="Medium"/>
    <s v="Insurance"/>
  </r>
  <r>
    <x v="104"/>
    <x v="5"/>
    <x v="0"/>
    <s v="Financials"/>
    <n v="3.25"/>
    <d v="2026-11-28T00:00:00"/>
    <s v="Short"/>
    <s v="Medium"/>
    <s v="Investment bank"/>
  </r>
  <r>
    <x v="105"/>
    <x v="5"/>
    <x v="0"/>
    <s v="Utilities"/>
    <n v="1.25"/>
    <d v="1934-06-01T00:00:00"/>
    <s v="Medium"/>
    <s v="Low"/>
    <s v="Gas infrastructure"/>
  </r>
  <r>
    <x v="105"/>
    <x v="5"/>
    <x v="0"/>
    <s v="Utilities"/>
    <n v="4"/>
    <d v="2026-11-29T00:00:00"/>
    <s v="Medium"/>
    <s v="Medium"/>
    <s v="Gas infrastructure"/>
  </r>
  <r>
    <x v="106"/>
    <x v="5"/>
    <x v="0"/>
    <s v="Utilities"/>
    <n v="1"/>
    <d v="2026-10-28T00:00:00"/>
    <s v="Short"/>
    <s v="Low"/>
    <s v="Power grid"/>
  </r>
  <r>
    <x v="107"/>
    <x v="5"/>
    <x v="0"/>
    <s v="Insurance"/>
    <n v="3.5"/>
    <d v="2026-11-27T00:00:00"/>
    <s v="Short"/>
    <s v="Medium"/>
    <s v="Insurance"/>
  </r>
  <r>
    <x v="108"/>
    <x v="5"/>
    <x v="0"/>
    <s v="Insurance"/>
    <n v="4.9000000000000004"/>
    <d v="1934-05-01T00:00:00"/>
    <s v="Medium"/>
    <s v="Medium"/>
    <s v="Insurance"/>
  </r>
  <r>
    <x v="109"/>
    <x v="5"/>
    <x v="1"/>
    <s v="Government"/>
    <n v="5.25"/>
    <d v="2029-01-11T00:00:00"/>
    <s v="Medium"/>
    <s v="Medium"/>
    <s v="BTP"/>
  </r>
  <r>
    <x v="109"/>
    <x v="5"/>
    <x v="1"/>
    <s v="Government"/>
    <n v="6"/>
    <d v="1931-01-05T00:00:00"/>
    <s v="Medium"/>
    <s v="Medium"/>
    <s v="BTP"/>
  </r>
  <r>
    <x v="109"/>
    <x v="5"/>
    <x v="1"/>
    <s v="Government"/>
    <n v="3.1"/>
    <d v="1940-01-03T00:00:00"/>
    <s v="Long"/>
    <s v="Medium"/>
    <s v="BTP"/>
  </r>
  <r>
    <x v="109"/>
    <x v="5"/>
    <x v="1"/>
    <s v="Government"/>
    <n v="4.75"/>
    <d v="1944-01-09T00:00:00"/>
    <s v="Long"/>
    <s v="Medium"/>
    <s v="BT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F39035-7894-4868-90A8-8FC4950E5CF5}"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4:K11" firstHeaderRow="1" firstDataRow="1" firstDataCol="1" rowPageCount="2" colPageCount="1"/>
  <pivotFields count="9">
    <pivotField axis="axisPage" compact="0" outline="0" showAll="0">
      <items count="111">
        <item x="0"/>
        <item x="58"/>
        <item x="1"/>
        <item x="3"/>
        <item x="4"/>
        <item x="5"/>
        <item x="6"/>
        <item x="12"/>
        <item x="13"/>
        <item x="10"/>
        <item x="8"/>
        <item x="7"/>
        <item x="9"/>
        <item x="14"/>
        <item x="2"/>
        <item x="90"/>
        <item x="11"/>
        <item x="59"/>
        <item x="78"/>
        <item x="99"/>
        <item x="67"/>
        <item x="15"/>
        <item x="16"/>
        <item x="17"/>
        <item x="18"/>
        <item x="19"/>
        <item x="20"/>
        <item x="60"/>
        <item x="61"/>
        <item x="62"/>
        <item x="23"/>
        <item x="24"/>
        <item x="22"/>
        <item x="21"/>
        <item x="79"/>
        <item x="80"/>
        <item x="68"/>
        <item x="69"/>
        <item x="25"/>
        <item x="100"/>
        <item x="101"/>
        <item x="91"/>
        <item x="26"/>
        <item x="89"/>
        <item x="103"/>
        <item x="77"/>
        <item x="27"/>
        <item x="29"/>
        <item x="92"/>
        <item x="28"/>
        <item x="70"/>
        <item x="30"/>
        <item x="102"/>
        <item x="109"/>
        <item x="32"/>
        <item x="31"/>
        <item x="94"/>
        <item x="33"/>
        <item x="81"/>
        <item x="82"/>
        <item x="63"/>
        <item x="83"/>
        <item x="34"/>
        <item x="104"/>
        <item x="71"/>
        <item x="72"/>
        <item x="35"/>
        <item x="36"/>
        <item x="73"/>
        <item x="98"/>
        <item x="37"/>
        <item x="39"/>
        <item x="38"/>
        <item x="43"/>
        <item x="40"/>
        <item x="41"/>
        <item x="42"/>
        <item x="44"/>
        <item x="93"/>
        <item x="45"/>
        <item x="95"/>
        <item x="46"/>
        <item x="74"/>
        <item x="84"/>
        <item x="75"/>
        <item x="85"/>
        <item x="64"/>
        <item x="76"/>
        <item x="105"/>
        <item x="47"/>
        <item x="96"/>
        <item x="48"/>
        <item x="106"/>
        <item x="65"/>
        <item x="86"/>
        <item x="87"/>
        <item x="66"/>
        <item x="108"/>
        <item x="107"/>
        <item x="50"/>
        <item x="51"/>
        <item x="57"/>
        <item x="52"/>
        <item x="88"/>
        <item x="55"/>
        <item x="49"/>
        <item x="53"/>
        <item x="56"/>
        <item x="54"/>
        <item x="97"/>
        <item t="default"/>
      </items>
    </pivotField>
    <pivotField axis="axisRow" compact="0" outline="0" showAll="0">
      <items count="7">
        <item x="3"/>
        <item x="2"/>
        <item x="5"/>
        <item x="4"/>
        <item x="1"/>
        <item x="0"/>
        <item t="default"/>
      </items>
    </pivotField>
    <pivotField axis="axisPage"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7">
    <i>
      <x/>
    </i>
    <i>
      <x v="1"/>
    </i>
    <i>
      <x v="2"/>
    </i>
    <i>
      <x v="3"/>
    </i>
    <i>
      <x v="4"/>
    </i>
    <i>
      <x v="5"/>
    </i>
    <i t="grand">
      <x/>
    </i>
  </rowItems>
  <colItems count="1">
    <i/>
  </colItems>
  <pageFields count="2">
    <pageField fld="0" hier="-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D52534-1FDF-4AB4-BBB1-3520C9DAE8EF}" name="Tableau1" displayName="Tableau1" ref="A2:I14" totalsRowCount="1">
  <autoFilter ref="A2:I13" xr:uid="{25D52534-1FDF-4AB4-BBB1-3520C9DAE8EF}"/>
  <tableColumns count="9">
    <tableColumn id="1" xr3:uid="{5F921E98-73A7-43FB-9D91-18E78202A02E}" name="Actif"/>
    <tableColumn id="2" xr3:uid="{544D555D-1F9D-4D72-8FD7-E80290CAE498}" name="Classe"/>
    <tableColumn id="4" xr3:uid="{69850455-D246-4CDC-8A83-F812FB5E86D3}" name="(exemple)"/>
    <tableColumn id="5" xr3:uid="{18DE5C47-8EE0-42D2-A06C-CFF47EB6AA43}" name="Position"/>
    <tableColumn id="6" xr3:uid="{1D2E5907-25BF-4141-BFAD-E1B619EAECEF}" name="Poids"/>
    <tableColumn id="7" xr3:uid="{00CE18B7-5FAF-45FF-8771-DE9D5D30938E}" name="AVANT"/>
    <tableColumn id="8" xr3:uid="{4CDCDFF8-58C6-40D9-9F19-9245A998BAA2}" name="FED"/>
    <tableColumn id="13" xr3:uid="{0BECA0D9-A24E-4EA5-8354-CC92E1A3C389}" name="(%)4"/>
    <tableColumn id="31" xr3:uid="{B1148BDA-DD54-417D-9524-A36252A77F43}" name="Product nam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446246-842C-414E-8C48-5FC1FA6C9E0F}" name="Table2" displayName="Table2" ref="A1:I205" totalsRowShown="0" headerRowDxfId="17" dataDxfId="16">
  <autoFilter ref="A1:I205" xr:uid="{D0B8D8B0-F7B8-4452-A38E-0C3CA7293D84}"/>
  <tableColumns count="9">
    <tableColumn id="1" xr3:uid="{A5685844-2865-40E1-AFF3-EC33CA485F6A}" name="Issuer" dataDxfId="15"/>
    <tableColumn id="2" xr3:uid="{49DDD02D-3D39-4707-827B-E26AFA6D0719}" name="Country" dataDxfId="14"/>
    <tableColumn id="3" xr3:uid="{79E761E9-DEDD-440C-A36E-EDA8EED8D10E}" name="Bond Type" dataDxfId="13"/>
    <tableColumn id="4" xr3:uid="{5CC9B351-5873-4907-8D18-E7887573A8F1}" name="Industry" dataDxfId="12"/>
    <tableColumn id="5" xr3:uid="{0A8CA443-F13D-4B05-91FB-7D430F6E4F4D}" name="Coupon (%)" dataDxfId="11"/>
    <tableColumn id="6" xr3:uid="{09A72355-ECF9-4EF3-8C3D-B3EDEF8FED6F}" name="Maturity" dataDxfId="10"/>
    <tableColumn id="7" xr3:uid="{B1113F56-FFF1-489B-965C-2D7437B58D03}" name="Tenor" dataDxfId="9"/>
    <tableColumn id="8" xr3:uid="{83C7CC26-F80F-404B-9BD8-243DBD30CBF5}" name="Yield Style" dataDxfId="8"/>
    <tableColumn id="9" xr3:uid="{D1AAA481-8407-4885-8D2D-CC14076E117D}" name="Notes" dataDxfId="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D093-AF58-4480-8E84-A81EA649CED8}">
  <dimension ref="A1:N22"/>
  <sheetViews>
    <sheetView topLeftCell="A15" workbookViewId="0">
      <selection activeCell="D27" sqref="D27"/>
    </sheetView>
  </sheetViews>
  <sheetFormatPr baseColWidth="10" defaultColWidth="8.88671875" defaultRowHeight="14.4"/>
  <cols>
    <col min="1" max="1" width="7.33203125" bestFit="1" customWidth="1"/>
    <col min="2" max="2" width="8.6640625" bestFit="1" customWidth="1"/>
    <col min="3" max="3" width="21.44140625" bestFit="1" customWidth="1"/>
    <col min="4" max="4" width="10.44140625" bestFit="1" customWidth="1"/>
    <col min="5" max="5" width="8" bestFit="1" customWidth="1"/>
    <col min="6" max="6" width="9.5546875" customWidth="1"/>
    <col min="7" max="7" width="12.5546875" bestFit="1" customWidth="1"/>
    <col min="8" max="8" width="12.88671875" bestFit="1" customWidth="1"/>
    <col min="9" max="9" width="56.5546875" bestFit="1" customWidth="1"/>
  </cols>
  <sheetData>
    <row r="1" spans="1:14">
      <c r="G1" t="s">
        <v>0</v>
      </c>
    </row>
    <row r="2" spans="1:14">
      <c r="A2" t="s">
        <v>1</v>
      </c>
      <c r="B2" t="s">
        <v>2</v>
      </c>
      <c r="C2" t="s">
        <v>3</v>
      </c>
      <c r="D2" t="s">
        <v>4</v>
      </c>
      <c r="E2" t="s">
        <v>5</v>
      </c>
      <c r="F2" t="s">
        <v>6</v>
      </c>
      <c r="G2" t="s">
        <v>7</v>
      </c>
      <c r="H2" t="s">
        <v>8</v>
      </c>
      <c r="I2" t="s">
        <v>9</v>
      </c>
    </row>
    <row r="3" spans="1:14">
      <c r="A3" t="s">
        <v>10</v>
      </c>
      <c r="B3" t="s">
        <v>11</v>
      </c>
      <c r="C3" t="s">
        <v>12</v>
      </c>
      <c r="D3" t="s">
        <v>13</v>
      </c>
      <c r="E3" t="s">
        <v>14</v>
      </c>
      <c r="F3">
        <v>20</v>
      </c>
      <c r="G3">
        <v>35</v>
      </c>
      <c r="H3" t="s">
        <v>15</v>
      </c>
      <c r="I3" t="s">
        <v>16</v>
      </c>
      <c r="J3" t="s">
        <v>17</v>
      </c>
    </row>
    <row r="4" spans="1:14">
      <c r="A4" t="s">
        <v>18</v>
      </c>
      <c r="B4" t="s">
        <v>19</v>
      </c>
      <c r="C4" t="s">
        <v>13</v>
      </c>
      <c r="D4" t="s">
        <v>14</v>
      </c>
      <c r="F4">
        <v>20</v>
      </c>
      <c r="G4">
        <v>25</v>
      </c>
      <c r="H4" t="s">
        <v>20</v>
      </c>
      <c r="I4" t="s">
        <v>21</v>
      </c>
      <c r="J4" t="s">
        <v>22</v>
      </c>
      <c r="N4" t="s">
        <v>23</v>
      </c>
    </row>
    <row r="5" spans="1:14">
      <c r="A5" t="s">
        <v>24</v>
      </c>
      <c r="B5" t="s">
        <v>25</v>
      </c>
      <c r="C5" t="s">
        <v>26</v>
      </c>
      <c r="D5" t="s">
        <v>27</v>
      </c>
      <c r="E5" t="s">
        <v>28</v>
      </c>
      <c r="F5">
        <v>25</v>
      </c>
      <c r="G5">
        <v>20</v>
      </c>
      <c r="H5" t="s">
        <v>29</v>
      </c>
      <c r="I5" t="s">
        <v>30</v>
      </c>
    </row>
    <row r="6" spans="1:14">
      <c r="A6" t="s">
        <v>31</v>
      </c>
      <c r="B6" t="s">
        <v>32</v>
      </c>
      <c r="C6" t="s">
        <v>33</v>
      </c>
      <c r="D6" t="s">
        <v>34</v>
      </c>
      <c r="E6" t="s">
        <v>14</v>
      </c>
      <c r="F6">
        <v>20</v>
      </c>
      <c r="G6">
        <v>15</v>
      </c>
      <c r="H6" t="s">
        <v>35</v>
      </c>
      <c r="I6" t="s">
        <v>36</v>
      </c>
      <c r="J6" s="1" t="s">
        <v>37</v>
      </c>
      <c r="K6" s="1" t="s">
        <v>10</v>
      </c>
      <c r="L6" s="1" t="s">
        <v>38</v>
      </c>
      <c r="M6" s="1" t="s">
        <v>26</v>
      </c>
      <c r="N6" s="1" t="s">
        <v>31</v>
      </c>
    </row>
    <row r="7" spans="1:14">
      <c r="A7" t="s">
        <v>39</v>
      </c>
      <c r="B7" t="s">
        <v>39</v>
      </c>
      <c r="C7" t="s">
        <v>13</v>
      </c>
      <c r="E7" t="s">
        <v>40</v>
      </c>
      <c r="F7" s="11">
        <v>5</v>
      </c>
      <c r="I7" t="s">
        <v>41</v>
      </c>
      <c r="J7" t="s">
        <v>42</v>
      </c>
      <c r="K7" s="3">
        <v>0.35</v>
      </c>
      <c r="L7" s="3">
        <v>0.25</v>
      </c>
      <c r="M7" s="3">
        <v>0.25</v>
      </c>
      <c r="N7" s="3">
        <v>0.15</v>
      </c>
    </row>
    <row r="8" spans="1:14">
      <c r="I8" t="s">
        <v>43</v>
      </c>
      <c r="J8" t="s">
        <v>44</v>
      </c>
      <c r="K8" s="3">
        <v>0.4</v>
      </c>
      <c r="L8" s="3">
        <v>0.15</v>
      </c>
      <c r="M8" s="3">
        <v>0.15</v>
      </c>
      <c r="N8" s="3">
        <v>0.3</v>
      </c>
    </row>
    <row r="9" spans="1:14">
      <c r="A9" t="s">
        <v>10</v>
      </c>
      <c r="B9" t="s">
        <v>45</v>
      </c>
      <c r="C9" t="s">
        <v>45</v>
      </c>
      <c r="D9" t="s">
        <v>46</v>
      </c>
      <c r="E9" t="s">
        <v>14</v>
      </c>
      <c r="F9" t="s">
        <v>47</v>
      </c>
    </row>
    <row r="10" spans="1:14">
      <c r="K10" t="s">
        <v>48</v>
      </c>
    </row>
    <row r="11" spans="1:14">
      <c r="J11" t="s">
        <v>49</v>
      </c>
      <c r="M11" s="10" t="s">
        <v>50</v>
      </c>
    </row>
    <row r="12" spans="1:14">
      <c r="J12" s="1" t="s">
        <v>51</v>
      </c>
    </row>
    <row r="13" spans="1:14">
      <c r="J13" t="s">
        <v>52</v>
      </c>
    </row>
    <row r="15" spans="1:14">
      <c r="C15" t="s">
        <v>53</v>
      </c>
      <c r="I15">
        <f>250000</f>
        <v>250000</v>
      </c>
    </row>
    <row r="16" spans="1:14">
      <c r="I16">
        <f>I15-13000</f>
        <v>237000</v>
      </c>
      <c r="J16" t="s">
        <v>54</v>
      </c>
    </row>
    <row r="17" spans="3:10">
      <c r="C17" t="s">
        <v>55</v>
      </c>
      <c r="I17">
        <f>I15*20%</f>
        <v>50000</v>
      </c>
    </row>
    <row r="18" spans="3:10">
      <c r="C18" t="s">
        <v>56</v>
      </c>
      <c r="F18" t="s">
        <v>57</v>
      </c>
      <c r="I18">
        <f>I15*20%</f>
        <v>50000</v>
      </c>
    </row>
    <row r="19" spans="3:10">
      <c r="C19" t="s">
        <v>58</v>
      </c>
      <c r="D19" t="s">
        <v>59</v>
      </c>
    </row>
    <row r="20" spans="3:10">
      <c r="J20" t="s">
        <v>60</v>
      </c>
    </row>
    <row r="21" spans="3:10">
      <c r="J21" t="s">
        <v>61</v>
      </c>
    </row>
    <row r="22" spans="3:10">
      <c r="C22" t="s">
        <v>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5613C-9EBC-4328-BD95-CDD698A7792F}">
  <dimension ref="A1:H21"/>
  <sheetViews>
    <sheetView workbookViewId="0">
      <selection activeCell="E9" sqref="E9"/>
    </sheetView>
  </sheetViews>
  <sheetFormatPr baseColWidth="10" defaultColWidth="8.88671875" defaultRowHeight="14.4"/>
  <cols>
    <col min="1" max="1" width="32" bestFit="1" customWidth="1"/>
    <col min="2" max="2" width="7.88671875" customWidth="1"/>
    <col min="3" max="3" width="13.33203125" bestFit="1" customWidth="1"/>
    <col min="4" max="4" width="14" customWidth="1"/>
    <col min="5" max="5" width="16.109375" customWidth="1"/>
    <col min="6" max="6" width="28" bestFit="1" customWidth="1"/>
    <col min="7" max="7" width="16.109375" bestFit="1" customWidth="1"/>
    <col min="8" max="8" width="52.88671875" bestFit="1" customWidth="1"/>
  </cols>
  <sheetData>
    <row r="1" spans="1:7" s="7" customFormat="1">
      <c r="A1" s="7" t="s">
        <v>63</v>
      </c>
      <c r="B1" s="7" t="s">
        <v>64</v>
      </c>
      <c r="C1" s="7" t="s">
        <v>65</v>
      </c>
      <c r="D1" s="7" t="s">
        <v>66</v>
      </c>
      <c r="E1" s="7" t="s">
        <v>67</v>
      </c>
      <c r="F1" s="7" t="s">
        <v>68</v>
      </c>
    </row>
    <row r="2" spans="1:7">
      <c r="A2" t="s">
        <v>69</v>
      </c>
      <c r="B2" s="3">
        <v>0.3</v>
      </c>
      <c r="C2">
        <f>'Trading Contest rules'!$B$2*'Our strategy'!B2</f>
        <v>300000</v>
      </c>
      <c r="D2" s="3">
        <v>0.15</v>
      </c>
      <c r="E2">
        <f>C2*D2</f>
        <v>45000</v>
      </c>
    </row>
    <row r="3" spans="1:7">
      <c r="A3" t="s">
        <v>13</v>
      </c>
      <c r="B3" s="3">
        <v>0.3</v>
      </c>
      <c r="C3">
        <f>'Trading Contest rules'!$B$2*'Our strategy'!B3</f>
        <v>300000</v>
      </c>
      <c r="D3" s="3">
        <v>0.15</v>
      </c>
      <c r="E3">
        <f t="shared" ref="E3:E13" si="0">C3*D3</f>
        <v>45000</v>
      </c>
    </row>
    <row r="4" spans="1:7">
      <c r="A4" t="s">
        <v>70</v>
      </c>
      <c r="B4" s="3">
        <v>0.2</v>
      </c>
      <c r="C4">
        <f>'Trading Contest rules'!$B$2*'Our strategy'!B4</f>
        <v>200000</v>
      </c>
      <c r="D4" s="3">
        <v>0.15</v>
      </c>
      <c r="E4">
        <f t="shared" si="0"/>
        <v>30000</v>
      </c>
    </row>
    <row r="5" spans="1:7">
      <c r="A5" t="s">
        <v>71</v>
      </c>
      <c r="B5" s="3">
        <v>0.2</v>
      </c>
      <c r="C5">
        <f>'Trading Contest rules'!$B$2*'Our strategy'!B5</f>
        <v>200000</v>
      </c>
      <c r="D5" s="3">
        <v>0.15</v>
      </c>
      <c r="E5">
        <f t="shared" si="0"/>
        <v>30000</v>
      </c>
    </row>
    <row r="6" spans="1:7">
      <c r="A6" t="s">
        <v>72</v>
      </c>
      <c r="B6" s="3">
        <v>0.2</v>
      </c>
      <c r="C6">
        <f>'Trading Contest rules'!$B$2*'Our strategy'!B6</f>
        <v>200000</v>
      </c>
      <c r="D6" s="3">
        <v>0.15</v>
      </c>
      <c r="E6">
        <f t="shared" si="0"/>
        <v>30000</v>
      </c>
    </row>
    <row r="7" spans="1:7">
      <c r="A7" t="s">
        <v>73</v>
      </c>
      <c r="B7" s="3">
        <v>0.2</v>
      </c>
      <c r="C7">
        <f>'Trading Contest rules'!$B$2*'Our strategy'!B7</f>
        <v>200000</v>
      </c>
      <c r="D7" s="3">
        <v>0.15</v>
      </c>
      <c r="E7">
        <f t="shared" si="0"/>
        <v>30000</v>
      </c>
    </row>
    <row r="8" spans="1:7">
      <c r="A8" t="s">
        <v>74</v>
      </c>
      <c r="B8" s="3">
        <v>0.2</v>
      </c>
      <c r="C8">
        <f>'Trading Contest rules'!$B$2*'Our strategy'!B8</f>
        <v>200000</v>
      </c>
      <c r="D8" s="3">
        <v>0.15</v>
      </c>
      <c r="E8">
        <f t="shared" si="0"/>
        <v>30000</v>
      </c>
    </row>
    <row r="9" spans="1:7">
      <c r="A9" t="s">
        <v>75</v>
      </c>
      <c r="B9" s="3">
        <v>0.2</v>
      </c>
      <c r="C9">
        <f>'Trading Contest rules'!$B$2*'Our strategy'!B9</f>
        <v>200000</v>
      </c>
      <c r="D9" s="3">
        <v>0.15</v>
      </c>
      <c r="E9">
        <f t="shared" si="0"/>
        <v>30000</v>
      </c>
    </row>
    <row r="10" spans="1:7">
      <c r="A10" t="s">
        <v>76</v>
      </c>
      <c r="B10" s="3">
        <v>0.2</v>
      </c>
      <c r="C10">
        <f>'Trading Contest rules'!$B$2*'Our strategy'!B10</f>
        <v>200000</v>
      </c>
      <c r="D10" s="3">
        <v>0.15</v>
      </c>
      <c r="E10">
        <f t="shared" si="0"/>
        <v>30000</v>
      </c>
    </row>
    <row r="11" spans="1:7">
      <c r="A11" t="s">
        <v>25</v>
      </c>
      <c r="B11" s="3">
        <v>0.2</v>
      </c>
      <c r="C11">
        <f>'Trading Contest rules'!$B$2*'Our strategy'!B11</f>
        <v>200000</v>
      </c>
      <c r="D11" s="3">
        <v>0.15</v>
      </c>
      <c r="E11">
        <f t="shared" si="0"/>
        <v>30000</v>
      </c>
    </row>
    <row r="12" spans="1:7">
      <c r="A12" t="s">
        <v>77</v>
      </c>
      <c r="B12" s="3">
        <v>0.05</v>
      </c>
      <c r="C12">
        <f>'Trading Contest rules'!$B$2*'Our strategy'!B12</f>
        <v>50000</v>
      </c>
      <c r="D12" s="3">
        <v>0.15</v>
      </c>
      <c r="E12">
        <f>7500</f>
        <v>7500</v>
      </c>
      <c r="F12" s="3"/>
    </row>
    <row r="13" spans="1:7">
      <c r="A13" t="s">
        <v>78</v>
      </c>
      <c r="B13" s="3">
        <v>0.05</v>
      </c>
      <c r="C13">
        <f>'Trading Contest rules'!$B$2*'Our strategy'!B13</f>
        <v>50000</v>
      </c>
      <c r="D13" s="3">
        <v>0.15</v>
      </c>
      <c r="E13">
        <f t="shared" si="0"/>
        <v>7500</v>
      </c>
    </row>
    <row r="16" spans="1:7">
      <c r="G16" s="8"/>
    </row>
    <row r="19" spans="8:8">
      <c r="H19" t="s">
        <v>79</v>
      </c>
    </row>
    <row r="20" spans="8:8">
      <c r="H20" s="9">
        <v>1300000</v>
      </c>
    </row>
    <row r="21" spans="8:8">
      <c r="H21" s="5">
        <f xml:space="preserve"> (H20/'Trading Contest rules'!B2)-1</f>
        <v>0.30000000000000004</v>
      </c>
    </row>
  </sheetData>
  <autoFilter ref="A1:A3" xr:uid="{27D5613C-9EBC-4328-BD95-CDD698A7792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13CE-9076-4F12-AE8C-CF2E393B6FF3}">
  <dimension ref="A1:B14"/>
  <sheetViews>
    <sheetView workbookViewId="0">
      <selection activeCell="D11" sqref="D11"/>
    </sheetView>
  </sheetViews>
  <sheetFormatPr baseColWidth="10" defaultColWidth="22.6640625" defaultRowHeight="14.4"/>
  <cols>
    <col min="1" max="1" width="31.6640625" bestFit="1" customWidth="1"/>
    <col min="2" max="2" width="26.5546875" bestFit="1" customWidth="1"/>
  </cols>
  <sheetData>
    <row r="1" spans="1:2">
      <c r="A1" t="s">
        <v>80</v>
      </c>
      <c r="B1" t="s">
        <v>81</v>
      </c>
    </row>
    <row r="2" spans="1:2">
      <c r="A2" t="s">
        <v>82</v>
      </c>
      <c r="B2" s="6">
        <v>1000000</v>
      </c>
    </row>
    <row r="3" spans="1:2">
      <c r="A3" t="s">
        <v>83</v>
      </c>
      <c r="B3" s="3">
        <v>0</v>
      </c>
    </row>
    <row r="4" spans="1:2">
      <c r="A4" t="s">
        <v>84</v>
      </c>
      <c r="B4" s="3">
        <v>0.03</v>
      </c>
    </row>
    <row r="6" spans="1:2">
      <c r="A6" t="s">
        <v>85</v>
      </c>
      <c r="B6">
        <v>1</v>
      </c>
    </row>
    <row r="7" spans="1:2">
      <c r="A7" t="s">
        <v>86</v>
      </c>
      <c r="B7">
        <v>3</v>
      </c>
    </row>
    <row r="8" spans="1:2">
      <c r="A8" t="s">
        <v>87</v>
      </c>
      <c r="B8" t="s">
        <v>88</v>
      </c>
    </row>
    <row r="9" spans="1:2">
      <c r="A9" t="s">
        <v>89</v>
      </c>
      <c r="B9" t="s">
        <v>88</v>
      </c>
    </row>
    <row r="10" spans="1:2">
      <c r="A10" t="s">
        <v>90</v>
      </c>
      <c r="B10" t="s">
        <v>91</v>
      </c>
    </row>
    <row r="11" spans="1:2">
      <c r="A11" t="s">
        <v>92</v>
      </c>
      <c r="B11" t="s">
        <v>93</v>
      </c>
    </row>
    <row r="13" spans="1:2">
      <c r="A13" t="s">
        <v>94</v>
      </c>
      <c r="B13" t="s">
        <v>95</v>
      </c>
    </row>
    <row r="14" spans="1:2">
      <c r="A14" t="s">
        <v>96</v>
      </c>
      <c r="B14" s="5">
        <v>1E-3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A5707-6FA3-4B81-81E8-EEF3E3433F6C}">
  <dimension ref="A1:B102"/>
  <sheetViews>
    <sheetView workbookViewId="0">
      <selection activeCell="B6" sqref="B6"/>
    </sheetView>
  </sheetViews>
  <sheetFormatPr baseColWidth="10" defaultColWidth="8.88671875" defaultRowHeight="14.4"/>
  <cols>
    <col min="1" max="1" width="13" bestFit="1" customWidth="1"/>
    <col min="2" max="2" width="36.5546875" bestFit="1" customWidth="1"/>
  </cols>
  <sheetData>
    <row r="1" spans="1:2">
      <c r="A1" s="1" t="s">
        <v>97</v>
      </c>
      <c r="B1" s="89" t="s">
        <v>98</v>
      </c>
    </row>
    <row r="2" spans="1:2" ht="28.8">
      <c r="A2" t="s">
        <v>99</v>
      </c>
      <c r="B2" s="13" t="s">
        <v>100</v>
      </c>
    </row>
    <row r="3" spans="1:2" ht="28.8">
      <c r="A3" t="s">
        <v>101</v>
      </c>
      <c r="B3" s="13" t="s">
        <v>102</v>
      </c>
    </row>
    <row r="4" spans="1:2" ht="28.8">
      <c r="A4" t="s">
        <v>103</v>
      </c>
      <c r="B4" s="13" t="s">
        <v>104</v>
      </c>
    </row>
    <row r="5" spans="1:2">
      <c r="A5" t="s">
        <v>105</v>
      </c>
      <c r="B5" s="13" t="s">
        <v>106</v>
      </c>
    </row>
    <row r="6" spans="1:2">
      <c r="A6" t="s">
        <v>107</v>
      </c>
      <c r="B6" s="13" t="s">
        <v>108</v>
      </c>
    </row>
    <row r="7" spans="1:2">
      <c r="A7" t="s">
        <v>109</v>
      </c>
      <c r="B7" s="13" t="s">
        <v>110</v>
      </c>
    </row>
    <row r="8" spans="1:2">
      <c r="A8" t="s">
        <v>111</v>
      </c>
      <c r="B8" s="13" t="s">
        <v>112</v>
      </c>
    </row>
    <row r="9" spans="1:2" ht="28.8">
      <c r="A9" t="s">
        <v>113</v>
      </c>
      <c r="B9" s="13" t="s">
        <v>114</v>
      </c>
    </row>
    <row r="10" spans="1:2">
      <c r="A10" t="s">
        <v>115</v>
      </c>
      <c r="B10" s="13" t="s">
        <v>116</v>
      </c>
    </row>
    <row r="11" spans="1:2" ht="28.8">
      <c r="A11" t="s">
        <v>117</v>
      </c>
      <c r="B11" s="13" t="s">
        <v>114</v>
      </c>
    </row>
    <row r="12" spans="1:2">
      <c r="A12" t="s">
        <v>118</v>
      </c>
      <c r="B12" s="13" t="s">
        <v>119</v>
      </c>
    </row>
    <row r="13" spans="1:2">
      <c r="A13" t="s">
        <v>120</v>
      </c>
      <c r="B13" s="13" t="s">
        <v>121</v>
      </c>
    </row>
    <row r="14" spans="1:2" ht="28.8">
      <c r="A14" t="s">
        <v>122</v>
      </c>
      <c r="B14" s="13" t="s">
        <v>123</v>
      </c>
    </row>
    <row r="15" spans="1:2">
      <c r="A15" t="s">
        <v>124</v>
      </c>
      <c r="B15" s="13" t="s">
        <v>125</v>
      </c>
    </row>
    <row r="16" spans="1:2" ht="28.8">
      <c r="A16" t="s">
        <v>126</v>
      </c>
      <c r="B16" s="13" t="s">
        <v>127</v>
      </c>
    </row>
    <row r="17" spans="1:2">
      <c r="A17" t="s">
        <v>128</v>
      </c>
      <c r="B17" s="13" t="s">
        <v>129</v>
      </c>
    </row>
    <row r="18" spans="1:2">
      <c r="A18" t="s">
        <v>130</v>
      </c>
      <c r="B18" s="13" t="s">
        <v>131</v>
      </c>
    </row>
    <row r="19" spans="1:2">
      <c r="A19" t="s">
        <v>132</v>
      </c>
      <c r="B19" s="13" t="s">
        <v>133</v>
      </c>
    </row>
    <row r="20" spans="1:2">
      <c r="A20" t="s">
        <v>134</v>
      </c>
      <c r="B20" s="13" t="s">
        <v>135</v>
      </c>
    </row>
    <row r="21" spans="1:2">
      <c r="A21" t="s">
        <v>136</v>
      </c>
      <c r="B21" s="13" t="s">
        <v>137</v>
      </c>
    </row>
    <row r="22" spans="1:2">
      <c r="A22" t="s">
        <v>138</v>
      </c>
      <c r="B22" s="13" t="s">
        <v>139</v>
      </c>
    </row>
    <row r="23" spans="1:2">
      <c r="A23" t="s">
        <v>140</v>
      </c>
      <c r="B23" s="13" t="s">
        <v>141</v>
      </c>
    </row>
    <row r="24" spans="1:2">
      <c r="A24" t="s">
        <v>142</v>
      </c>
      <c r="B24" s="13" t="s">
        <v>139</v>
      </c>
    </row>
    <row r="25" spans="1:2">
      <c r="A25" t="s">
        <v>143</v>
      </c>
      <c r="B25" s="13" t="s">
        <v>139</v>
      </c>
    </row>
    <row r="26" spans="1:2">
      <c r="A26" t="s">
        <v>144</v>
      </c>
      <c r="B26" s="13" t="s">
        <v>139</v>
      </c>
    </row>
    <row r="27" spans="1:2">
      <c r="A27" t="s">
        <v>145</v>
      </c>
      <c r="B27" s="13" t="s">
        <v>139</v>
      </c>
    </row>
    <row r="28" spans="1:2">
      <c r="A28" t="s">
        <v>146</v>
      </c>
      <c r="B28" s="13" t="s">
        <v>139</v>
      </c>
    </row>
    <row r="29" spans="1:2" ht="28.8">
      <c r="A29" t="s">
        <v>147</v>
      </c>
      <c r="B29" s="13" t="s">
        <v>148</v>
      </c>
    </row>
    <row r="30" spans="1:2">
      <c r="A30" t="s">
        <v>149</v>
      </c>
      <c r="B30" s="13" t="s">
        <v>150</v>
      </c>
    </row>
    <row r="31" spans="1:2">
      <c r="A31" t="s">
        <v>151</v>
      </c>
      <c r="B31" s="13" t="s">
        <v>152</v>
      </c>
    </row>
    <row r="32" spans="1:2">
      <c r="A32" t="s">
        <v>153</v>
      </c>
      <c r="B32" s="13" t="s">
        <v>154</v>
      </c>
    </row>
    <row r="33" spans="1:2">
      <c r="A33" t="s">
        <v>155</v>
      </c>
      <c r="B33" s="13" t="s">
        <v>156</v>
      </c>
    </row>
    <row r="34" spans="1:2">
      <c r="A34" t="s">
        <v>157</v>
      </c>
      <c r="B34" s="13" t="s">
        <v>158</v>
      </c>
    </row>
    <row r="35" spans="1:2">
      <c r="A35" t="s">
        <v>159</v>
      </c>
      <c r="B35" s="13" t="s">
        <v>160</v>
      </c>
    </row>
    <row r="36" spans="1:2">
      <c r="A36" t="s">
        <v>161</v>
      </c>
      <c r="B36" s="13" t="s">
        <v>162</v>
      </c>
    </row>
    <row r="37" spans="1:2">
      <c r="A37" t="s">
        <v>163</v>
      </c>
      <c r="B37" s="13" t="s">
        <v>164</v>
      </c>
    </row>
    <row r="38" spans="1:2">
      <c r="A38" t="s">
        <v>165</v>
      </c>
      <c r="B38" s="13" t="s">
        <v>164</v>
      </c>
    </row>
    <row r="39" spans="1:2">
      <c r="A39" t="s">
        <v>166</v>
      </c>
      <c r="B39" s="13" t="s">
        <v>167</v>
      </c>
    </row>
    <row r="40" spans="1:2">
      <c r="A40" t="s">
        <v>168</v>
      </c>
      <c r="B40" s="13" t="s">
        <v>169</v>
      </c>
    </row>
    <row r="41" spans="1:2">
      <c r="A41" t="s">
        <v>170</v>
      </c>
      <c r="B41" s="13" t="s">
        <v>171</v>
      </c>
    </row>
    <row r="42" spans="1:2">
      <c r="A42" t="s">
        <v>172</v>
      </c>
      <c r="B42" s="13" t="s">
        <v>173</v>
      </c>
    </row>
    <row r="43" spans="1:2">
      <c r="A43" t="s">
        <v>174</v>
      </c>
      <c r="B43" s="13" t="s">
        <v>169</v>
      </c>
    </row>
    <row r="44" spans="1:2" ht="28.8">
      <c r="A44" t="s">
        <v>175</v>
      </c>
      <c r="B44" s="13" t="s">
        <v>176</v>
      </c>
    </row>
    <row r="45" spans="1:2" ht="28.8">
      <c r="A45" t="s">
        <v>177</v>
      </c>
      <c r="B45" s="13" t="s">
        <v>176</v>
      </c>
    </row>
    <row r="46" spans="1:2">
      <c r="A46" t="s">
        <v>178</v>
      </c>
      <c r="B46" s="13" t="s">
        <v>179</v>
      </c>
    </row>
    <row r="47" spans="1:2">
      <c r="A47" t="s">
        <v>180</v>
      </c>
      <c r="B47" s="13" t="s">
        <v>181</v>
      </c>
    </row>
    <row r="48" spans="1:2">
      <c r="A48" t="s">
        <v>182</v>
      </c>
      <c r="B48" s="13" t="s">
        <v>183</v>
      </c>
    </row>
    <row r="49" spans="1:2">
      <c r="A49" t="s">
        <v>184</v>
      </c>
      <c r="B49" s="13" t="s">
        <v>185</v>
      </c>
    </row>
    <row r="50" spans="1:2">
      <c r="A50" t="s">
        <v>186</v>
      </c>
      <c r="B50" s="13" t="s">
        <v>187</v>
      </c>
    </row>
    <row r="51" spans="1:2">
      <c r="A51" t="s">
        <v>188</v>
      </c>
      <c r="B51" s="13" t="s">
        <v>189</v>
      </c>
    </row>
    <row r="52" spans="1:2">
      <c r="A52" t="s">
        <v>190</v>
      </c>
      <c r="B52" s="13" t="s">
        <v>191</v>
      </c>
    </row>
    <row r="53" spans="1:2">
      <c r="A53" t="s">
        <v>192</v>
      </c>
      <c r="B53" s="13" t="s">
        <v>193</v>
      </c>
    </row>
    <row r="54" spans="1:2">
      <c r="A54" t="s">
        <v>194</v>
      </c>
      <c r="B54" s="13" t="s">
        <v>195</v>
      </c>
    </row>
    <row r="55" spans="1:2">
      <c r="A55" t="s">
        <v>196</v>
      </c>
      <c r="B55" s="13" t="s">
        <v>197</v>
      </c>
    </row>
    <row r="56" spans="1:2">
      <c r="A56" t="s">
        <v>198</v>
      </c>
      <c r="B56" s="13" t="s">
        <v>199</v>
      </c>
    </row>
    <row r="57" spans="1:2">
      <c r="A57" t="s">
        <v>200</v>
      </c>
      <c r="B57" s="13" t="s">
        <v>199</v>
      </c>
    </row>
    <row r="58" spans="1:2">
      <c r="A58" t="s">
        <v>201</v>
      </c>
      <c r="B58" s="13" t="s">
        <v>199</v>
      </c>
    </row>
    <row r="59" spans="1:2">
      <c r="A59" t="s">
        <v>202</v>
      </c>
      <c r="B59" s="13" t="s">
        <v>203</v>
      </c>
    </row>
    <row r="60" spans="1:2">
      <c r="A60" t="s">
        <v>204</v>
      </c>
      <c r="B60" s="13" t="s">
        <v>205</v>
      </c>
    </row>
    <row r="61" spans="1:2">
      <c r="A61" t="s">
        <v>206</v>
      </c>
      <c r="B61" s="13" t="s">
        <v>203</v>
      </c>
    </row>
    <row r="62" spans="1:2">
      <c r="A62" t="s">
        <v>207</v>
      </c>
      <c r="B62" s="13" t="s">
        <v>208</v>
      </c>
    </row>
    <row r="63" spans="1:2">
      <c r="A63" t="s">
        <v>209</v>
      </c>
      <c r="B63" s="13" t="s">
        <v>210</v>
      </c>
    </row>
    <row r="64" spans="1:2">
      <c r="A64" t="s">
        <v>211</v>
      </c>
      <c r="B64" s="13" t="s">
        <v>212</v>
      </c>
    </row>
    <row r="65" spans="1:2">
      <c r="A65" t="s">
        <v>213</v>
      </c>
      <c r="B65" s="13" t="s">
        <v>214</v>
      </c>
    </row>
    <row r="66" spans="1:2">
      <c r="A66" t="s">
        <v>215</v>
      </c>
      <c r="B66" s="13" t="s">
        <v>216</v>
      </c>
    </row>
    <row r="67" spans="1:2">
      <c r="A67" t="s">
        <v>217</v>
      </c>
      <c r="B67" s="13" t="s">
        <v>218</v>
      </c>
    </row>
    <row r="68" spans="1:2">
      <c r="A68" t="s">
        <v>219</v>
      </c>
      <c r="B68" s="13" t="s">
        <v>220</v>
      </c>
    </row>
    <row r="69" spans="1:2">
      <c r="A69" t="s">
        <v>221</v>
      </c>
      <c r="B69" s="13" t="s">
        <v>222</v>
      </c>
    </row>
    <row r="70" spans="1:2">
      <c r="A70" t="s">
        <v>223</v>
      </c>
      <c r="B70" s="13" t="s">
        <v>224</v>
      </c>
    </row>
    <row r="71" spans="1:2">
      <c r="A71" t="s">
        <v>225</v>
      </c>
      <c r="B71" s="13" t="s">
        <v>226</v>
      </c>
    </row>
    <row r="72" spans="1:2" ht="28.8">
      <c r="A72" t="s">
        <v>227</v>
      </c>
      <c r="B72" s="13" t="s">
        <v>228</v>
      </c>
    </row>
    <row r="73" spans="1:2">
      <c r="A73" t="s">
        <v>229</v>
      </c>
      <c r="B73" s="13" t="s">
        <v>230</v>
      </c>
    </row>
    <row r="74" spans="1:2">
      <c r="A74" t="s">
        <v>231</v>
      </c>
      <c r="B74" s="13" t="s">
        <v>230</v>
      </c>
    </row>
    <row r="75" spans="1:2">
      <c r="A75" t="s">
        <v>232</v>
      </c>
      <c r="B75" s="13" t="s">
        <v>233</v>
      </c>
    </row>
    <row r="76" spans="1:2">
      <c r="A76" t="s">
        <v>234</v>
      </c>
      <c r="B76" s="13" t="s">
        <v>235</v>
      </c>
    </row>
    <row r="77" spans="1:2">
      <c r="A77" t="s">
        <v>236</v>
      </c>
      <c r="B77" s="13" t="s">
        <v>235</v>
      </c>
    </row>
    <row r="78" spans="1:2">
      <c r="A78" t="s">
        <v>237</v>
      </c>
      <c r="B78" s="13" t="s">
        <v>238</v>
      </c>
    </row>
    <row r="79" spans="1:2">
      <c r="A79" t="s">
        <v>239</v>
      </c>
      <c r="B79" s="13" t="s">
        <v>238</v>
      </c>
    </row>
    <row r="80" spans="1:2">
      <c r="A80" t="s">
        <v>240</v>
      </c>
      <c r="B80" s="13" t="s">
        <v>241</v>
      </c>
    </row>
    <row r="81" spans="1:2">
      <c r="A81" t="s">
        <v>242</v>
      </c>
      <c r="B81" s="13" t="s">
        <v>243</v>
      </c>
    </row>
    <row r="82" spans="1:2">
      <c r="A82" t="s">
        <v>244</v>
      </c>
      <c r="B82" s="13" t="s">
        <v>243</v>
      </c>
    </row>
    <row r="83" spans="1:2">
      <c r="A83" t="s">
        <v>245</v>
      </c>
      <c r="B83" s="13" t="s">
        <v>246</v>
      </c>
    </row>
    <row r="84" spans="1:2">
      <c r="A84" t="s">
        <v>247</v>
      </c>
      <c r="B84" s="13" t="s">
        <v>248</v>
      </c>
    </row>
    <row r="85" spans="1:2">
      <c r="A85" t="s">
        <v>249</v>
      </c>
      <c r="B85" s="13" t="s">
        <v>250</v>
      </c>
    </row>
    <row r="86" spans="1:2">
      <c r="A86" t="s">
        <v>251</v>
      </c>
      <c r="B86" s="13" t="s">
        <v>252</v>
      </c>
    </row>
    <row r="87" spans="1:2">
      <c r="A87" t="s">
        <v>253</v>
      </c>
      <c r="B87" s="13" t="s">
        <v>252</v>
      </c>
    </row>
    <row r="88" spans="1:2">
      <c r="A88" t="s">
        <v>254</v>
      </c>
      <c r="B88" s="13" t="s">
        <v>255</v>
      </c>
    </row>
    <row r="89" spans="1:2">
      <c r="A89" t="s">
        <v>256</v>
      </c>
      <c r="B89" s="13" t="s">
        <v>257</v>
      </c>
    </row>
    <row r="90" spans="1:2">
      <c r="A90" t="s">
        <v>258</v>
      </c>
      <c r="B90" s="13" t="s">
        <v>252</v>
      </c>
    </row>
    <row r="91" spans="1:2">
      <c r="A91" t="s">
        <v>259</v>
      </c>
      <c r="B91" s="13" t="s">
        <v>252</v>
      </c>
    </row>
    <row r="92" spans="1:2">
      <c r="A92" t="s">
        <v>260</v>
      </c>
      <c r="B92" s="13" t="s">
        <v>261</v>
      </c>
    </row>
    <row r="93" spans="1:2">
      <c r="A93" t="s">
        <v>262</v>
      </c>
      <c r="B93" s="13" t="s">
        <v>252</v>
      </c>
    </row>
    <row r="94" spans="1:2">
      <c r="A94" t="s">
        <v>263</v>
      </c>
      <c r="B94" s="13" t="s">
        <v>252</v>
      </c>
    </row>
    <row r="95" spans="1:2">
      <c r="A95" t="s">
        <v>264</v>
      </c>
      <c r="B95" s="13" t="s">
        <v>265</v>
      </c>
    </row>
    <row r="96" spans="1:2">
      <c r="A96" t="s">
        <v>266</v>
      </c>
      <c r="B96" s="13" t="s">
        <v>267</v>
      </c>
    </row>
    <row r="97" spans="1:2">
      <c r="A97" t="s">
        <v>268</v>
      </c>
      <c r="B97" s="13" t="s">
        <v>265</v>
      </c>
    </row>
    <row r="98" spans="1:2" ht="28.8">
      <c r="A98" t="s">
        <v>269</v>
      </c>
      <c r="B98" s="13" t="s">
        <v>270</v>
      </c>
    </row>
    <row r="99" spans="1:2">
      <c r="A99" t="s">
        <v>271</v>
      </c>
      <c r="B99" s="13" t="s">
        <v>272</v>
      </c>
    </row>
    <row r="100" spans="1:2" ht="28.8">
      <c r="A100" t="s">
        <v>273</v>
      </c>
      <c r="B100" s="13" t="s">
        <v>274</v>
      </c>
    </row>
    <row r="101" spans="1:2">
      <c r="A101" t="s">
        <v>275</v>
      </c>
      <c r="B101" s="13" t="s">
        <v>276</v>
      </c>
    </row>
    <row r="102" spans="1:2">
      <c r="A102" t="s">
        <v>277</v>
      </c>
      <c r="B102" s="13" t="s">
        <v>278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01E55-7D65-4411-BF75-F70B1279EF34}">
  <dimension ref="A1:AM258"/>
  <sheetViews>
    <sheetView zoomScale="70" zoomScaleNormal="70" workbookViewId="0">
      <pane ySplit="1" topLeftCell="A18" activePane="bottomLeft" state="frozen"/>
      <selection pane="bottomLeft" sqref="A1:A1048576"/>
    </sheetView>
  </sheetViews>
  <sheetFormatPr baseColWidth="10" defaultColWidth="8.88671875" defaultRowHeight="14.4"/>
  <cols>
    <col min="1" max="1" width="10" style="80" bestFit="1" customWidth="1"/>
    <col min="2" max="2" width="12.44140625" bestFit="1" customWidth="1"/>
    <col min="3" max="3" width="19.6640625" style="63" bestFit="1" customWidth="1"/>
    <col min="4" max="4" width="16.88671875" customWidth="1"/>
    <col min="5" max="5" width="14.6640625" bestFit="1" customWidth="1"/>
    <col min="6" max="6" width="21" bestFit="1" customWidth="1"/>
    <col min="7" max="7" width="57" style="2" bestFit="1" customWidth="1"/>
    <col min="8" max="8" width="11" bestFit="1" customWidth="1"/>
    <col min="9" max="9" width="14.44140625" customWidth="1"/>
    <col min="10" max="10" width="9" bestFit="1" customWidth="1"/>
    <col min="11" max="11" width="13.44140625" bestFit="1" customWidth="1"/>
    <col min="12" max="12" width="12" bestFit="1" customWidth="1"/>
    <col min="13" max="13" width="23" bestFit="1" customWidth="1"/>
    <col min="14" max="14" width="12.44140625" bestFit="1" customWidth="1"/>
    <col min="15" max="15" width="22.109375" bestFit="1" customWidth="1"/>
    <col min="16" max="16" width="17.6640625" bestFit="1" customWidth="1"/>
    <col min="17" max="17" width="17.6640625" customWidth="1"/>
    <col min="18" max="18" width="17.6640625" style="61" customWidth="1"/>
    <col min="19" max="19" width="12.5546875" bestFit="1" customWidth="1"/>
    <col min="20" max="20" width="17" style="5" bestFit="1" customWidth="1"/>
    <col min="21" max="21" width="15.109375" bestFit="1" customWidth="1"/>
    <col min="22" max="22" width="21.44140625" bestFit="1" customWidth="1"/>
    <col min="23" max="23" width="65.33203125" bestFit="1" customWidth="1"/>
    <col min="24" max="25" width="36.5546875" bestFit="1" customWidth="1"/>
    <col min="26" max="26" width="18.44140625" bestFit="1" customWidth="1"/>
    <col min="27" max="27" width="22.5546875" bestFit="1" customWidth="1"/>
    <col min="28" max="28" width="36.5546875" bestFit="1" customWidth="1"/>
    <col min="29" max="29" width="27.109375" bestFit="1" customWidth="1"/>
    <col min="30" max="30" width="28.88671875" bestFit="1" customWidth="1"/>
    <col min="31" max="31" width="25.6640625" bestFit="1" customWidth="1"/>
    <col min="32" max="32" width="40.6640625" bestFit="1" customWidth="1"/>
    <col min="33" max="33" width="27.6640625" bestFit="1" customWidth="1"/>
    <col min="34" max="34" width="32.109375" bestFit="1" customWidth="1"/>
    <col min="35" max="35" width="16.33203125" bestFit="1" customWidth="1"/>
    <col min="36" max="36" width="11.44140625" bestFit="1" customWidth="1"/>
    <col min="38" max="38" width="9.6640625" bestFit="1" customWidth="1"/>
  </cols>
  <sheetData>
    <row r="1" spans="1:39">
      <c r="A1" s="128" t="s">
        <v>279</v>
      </c>
      <c r="B1" s="34" t="s">
        <v>280</v>
      </c>
      <c r="C1" s="75" t="s">
        <v>281</v>
      </c>
      <c r="D1" s="34" t="s">
        <v>282</v>
      </c>
      <c r="E1" s="34" t="s">
        <v>283</v>
      </c>
      <c r="F1" s="34" t="s">
        <v>284</v>
      </c>
      <c r="G1" s="76" t="s">
        <v>285</v>
      </c>
      <c r="H1" s="34" t="s">
        <v>286</v>
      </c>
      <c r="I1" s="34" t="s">
        <v>287</v>
      </c>
      <c r="J1" s="34" t="s">
        <v>288</v>
      </c>
      <c r="K1" s="34" t="s">
        <v>289</v>
      </c>
      <c r="L1" s="34" t="s">
        <v>290</v>
      </c>
      <c r="M1" s="34" t="s">
        <v>291</v>
      </c>
      <c r="N1" s="34" t="s">
        <v>292</v>
      </c>
      <c r="O1" s="34" t="s">
        <v>293</v>
      </c>
      <c r="P1" s="34" t="s">
        <v>294</v>
      </c>
      <c r="Q1" s="34" t="s">
        <v>295</v>
      </c>
      <c r="R1" s="59" t="s">
        <v>296</v>
      </c>
      <c r="S1" s="34" t="s">
        <v>297</v>
      </c>
      <c r="T1" s="35" t="s">
        <v>298</v>
      </c>
      <c r="U1" s="34" t="s">
        <v>299</v>
      </c>
      <c r="V1" s="34" t="s">
        <v>300</v>
      </c>
      <c r="W1" s="34" t="s">
        <v>301</v>
      </c>
      <c r="X1" s="34" t="s">
        <v>302</v>
      </c>
      <c r="Y1" s="34" t="s">
        <v>303</v>
      </c>
      <c r="Z1" s="34" t="s">
        <v>304</v>
      </c>
      <c r="AA1" s="34" t="s">
        <v>305</v>
      </c>
      <c r="AB1" s="34" t="s">
        <v>306</v>
      </c>
      <c r="AC1" s="34" t="s">
        <v>307</v>
      </c>
      <c r="AD1" s="34" t="s">
        <v>308</v>
      </c>
      <c r="AE1" s="34" t="s">
        <v>309</v>
      </c>
      <c r="AF1" s="34" t="s">
        <v>310</v>
      </c>
      <c r="AG1" s="34" t="s">
        <v>311</v>
      </c>
      <c r="AH1" s="34" t="s">
        <v>312</v>
      </c>
      <c r="AI1" s="34" t="s">
        <v>313</v>
      </c>
      <c r="AJ1" s="34" t="s">
        <v>314</v>
      </c>
    </row>
    <row r="2" spans="1:39" s="57" customFormat="1" ht="16.8">
      <c r="A2" s="129">
        <v>1</v>
      </c>
      <c r="B2" s="56" t="s">
        <v>315</v>
      </c>
      <c r="C2" s="71">
        <v>46044.800000000003</v>
      </c>
      <c r="D2" s="56" t="s">
        <v>316</v>
      </c>
      <c r="E2" s="56" t="s">
        <v>321</v>
      </c>
      <c r="F2" s="56" t="s">
        <v>317</v>
      </c>
      <c r="G2" s="77" t="s">
        <v>318</v>
      </c>
      <c r="H2" s="56" t="s">
        <v>25</v>
      </c>
      <c r="I2" s="56"/>
      <c r="J2" s="56" t="s">
        <v>319</v>
      </c>
      <c r="K2" s="56"/>
      <c r="L2" s="56"/>
      <c r="M2" s="56"/>
      <c r="N2" s="56"/>
      <c r="O2" s="56"/>
      <c r="P2" s="56"/>
      <c r="Q2" s="56"/>
      <c r="R2" s="60"/>
      <c r="S2" s="56"/>
      <c r="T2" s="58"/>
      <c r="U2" s="56"/>
      <c r="V2" s="56"/>
      <c r="W2" s="56"/>
      <c r="X2" s="56"/>
      <c r="Y2" s="56"/>
      <c r="Z2" s="56"/>
      <c r="AA2" s="56"/>
      <c r="AB2" s="56"/>
      <c r="AC2" s="56"/>
      <c r="AD2" s="56"/>
      <c r="AE2" s="56"/>
      <c r="AF2" s="56"/>
      <c r="AG2" s="56"/>
      <c r="AH2" s="56"/>
      <c r="AI2" s="56"/>
      <c r="AJ2" s="56"/>
    </row>
    <row r="3" spans="1:39" s="57" customFormat="1" ht="16.8">
      <c r="A3" s="129">
        <v>2</v>
      </c>
      <c r="B3" s="56" t="s">
        <v>315</v>
      </c>
      <c r="C3" s="72">
        <v>46044.802083333336</v>
      </c>
      <c r="D3" s="56" t="s">
        <v>316</v>
      </c>
      <c r="E3" s="56" t="s">
        <v>321</v>
      </c>
      <c r="F3" s="56" t="s">
        <v>317</v>
      </c>
      <c r="G3" s="77" t="s">
        <v>318</v>
      </c>
      <c r="H3" s="56" t="s">
        <v>25</v>
      </c>
      <c r="I3" s="56"/>
      <c r="J3" s="56" t="s">
        <v>320</v>
      </c>
      <c r="K3" s="56"/>
      <c r="L3" s="56"/>
      <c r="M3" s="56"/>
      <c r="N3" s="56"/>
      <c r="O3" s="56"/>
      <c r="P3" s="56"/>
      <c r="Q3" s="56"/>
      <c r="R3" s="60"/>
      <c r="S3" s="56"/>
      <c r="T3" s="58"/>
      <c r="U3" s="56"/>
      <c r="V3" s="56"/>
      <c r="W3" s="56"/>
      <c r="X3" s="56"/>
      <c r="Y3" s="56"/>
      <c r="Z3" s="56"/>
      <c r="AA3" s="56"/>
      <c r="AB3" s="56"/>
      <c r="AC3" s="56"/>
      <c r="AD3" s="56"/>
      <c r="AE3" s="56"/>
      <c r="AF3" s="56"/>
      <c r="AG3" s="56"/>
      <c r="AH3" s="56"/>
      <c r="AI3" s="56"/>
      <c r="AJ3" s="56"/>
    </row>
    <row r="4" spans="1:39" s="4" customFormat="1" ht="43.2">
      <c r="A4" s="129">
        <v>3</v>
      </c>
      <c r="B4" t="s">
        <v>315</v>
      </c>
      <c r="C4" s="73">
        <v>46048.295138888891</v>
      </c>
      <c r="D4" t="s">
        <v>316</v>
      </c>
      <c r="E4" t="s">
        <v>321</v>
      </c>
      <c r="F4" t="s">
        <v>322</v>
      </c>
      <c r="G4" s="67" t="s">
        <v>323</v>
      </c>
      <c r="H4" s="14" t="s">
        <v>77</v>
      </c>
      <c r="I4" s="14"/>
      <c r="J4" t="s">
        <v>319</v>
      </c>
      <c r="K4">
        <v>87701.2</v>
      </c>
      <c r="L4">
        <v>0.1709</v>
      </c>
      <c r="M4">
        <v>-12600.58</v>
      </c>
      <c r="N4">
        <v>65000</v>
      </c>
      <c r="O4" t="s">
        <v>324</v>
      </c>
      <c r="P4">
        <f>-10</f>
        <v>-10</v>
      </c>
      <c r="Q4">
        <v>0.8407</v>
      </c>
      <c r="R4" s="61">
        <f t="shared" ref="R4:R49" si="0">M4*Q4</f>
        <v>-10593.307606</v>
      </c>
      <c r="S4">
        <f>ABS(R4)</f>
        <v>10593.307606</v>
      </c>
      <c r="T4" s="5">
        <f>S4/1000000</f>
        <v>1.0593307606E-2</v>
      </c>
      <c r="U4" s="3" t="s">
        <v>325</v>
      </c>
      <c r="V4" t="s">
        <v>326</v>
      </c>
      <c r="W4" s="13" t="s">
        <v>327</v>
      </c>
      <c r="X4" t="s">
        <v>328</v>
      </c>
      <c r="Y4" t="s">
        <v>329</v>
      </c>
      <c r="Z4" t="s">
        <v>330</v>
      </c>
      <c r="AA4" t="s">
        <v>331</v>
      </c>
      <c r="AB4" t="s">
        <v>332</v>
      </c>
      <c r="AC4"/>
      <c r="AD4"/>
      <c r="AE4"/>
      <c r="AF4" t="s">
        <v>333</v>
      </c>
      <c r="AG4"/>
      <c r="AH4"/>
      <c r="AI4" t="s">
        <v>334</v>
      </c>
      <c r="AJ4" t="s">
        <v>335</v>
      </c>
      <c r="AK4"/>
      <c r="AL4"/>
      <c r="AM4"/>
    </row>
    <row r="5" spans="1:39" ht="28.8">
      <c r="A5" s="129">
        <v>4</v>
      </c>
      <c r="B5" t="s">
        <v>315</v>
      </c>
      <c r="C5" s="73">
        <v>46048.647916666669</v>
      </c>
      <c r="D5" t="s">
        <v>316</v>
      </c>
      <c r="E5" t="s">
        <v>336</v>
      </c>
      <c r="F5" t="s">
        <v>13</v>
      </c>
      <c r="G5" s="67" t="s">
        <v>10</v>
      </c>
      <c r="H5" t="s">
        <v>13</v>
      </c>
      <c r="J5" t="s">
        <v>319</v>
      </c>
      <c r="K5">
        <v>690.93</v>
      </c>
      <c r="L5">
        <v>65</v>
      </c>
      <c r="M5">
        <f>-37756.37</f>
        <v>-37756.370000000003</v>
      </c>
      <c r="N5">
        <v>650.4</v>
      </c>
      <c r="P5">
        <f>-10</f>
        <v>-10</v>
      </c>
      <c r="Q5">
        <v>0.8407</v>
      </c>
      <c r="R5" s="61">
        <f t="shared" si="0"/>
        <v>-31741.780259000003</v>
      </c>
      <c r="S5">
        <f t="shared" ref="S5:S68" si="1">ABS(R5)</f>
        <v>31741.780259000003</v>
      </c>
      <c r="T5" s="5">
        <f>S5/1000000</f>
        <v>3.1741780259000006E-2</v>
      </c>
      <c r="U5" s="3">
        <v>0.08</v>
      </c>
      <c r="V5" t="s">
        <v>337</v>
      </c>
      <c r="W5" s="13" t="s">
        <v>338</v>
      </c>
      <c r="X5" s="13" t="s">
        <v>339</v>
      </c>
      <c r="Y5" s="13" t="s">
        <v>340</v>
      </c>
      <c r="Z5" t="s">
        <v>330</v>
      </c>
      <c r="AA5" t="s">
        <v>341</v>
      </c>
      <c r="AF5" t="s">
        <v>333</v>
      </c>
      <c r="AI5" t="s">
        <v>342</v>
      </c>
      <c r="AJ5" t="s">
        <v>335</v>
      </c>
    </row>
    <row r="6" spans="1:39" ht="43.2">
      <c r="A6" s="129">
        <v>5</v>
      </c>
      <c r="B6" s="13" t="s">
        <v>343</v>
      </c>
      <c r="C6" s="73">
        <v>46049.645833333336</v>
      </c>
      <c r="D6" s="12" t="s">
        <v>344</v>
      </c>
      <c r="E6" t="s">
        <v>336</v>
      </c>
      <c r="F6" t="s">
        <v>345</v>
      </c>
      <c r="G6" s="67" t="s">
        <v>346</v>
      </c>
      <c r="H6" t="s">
        <v>347</v>
      </c>
      <c r="I6" t="s">
        <v>14</v>
      </c>
      <c r="J6" t="s">
        <v>319</v>
      </c>
      <c r="K6">
        <v>3.4</v>
      </c>
      <c r="L6">
        <v>100</v>
      </c>
      <c r="M6">
        <f>-28624.35</f>
        <v>-28624.35</v>
      </c>
      <c r="O6" t="s">
        <v>348</v>
      </c>
      <c r="P6">
        <v>-1</v>
      </c>
      <c r="Q6">
        <v>0.84189000000000003</v>
      </c>
      <c r="R6" s="61">
        <f t="shared" si="0"/>
        <v>-24098.5540215</v>
      </c>
      <c r="S6">
        <f t="shared" si="1"/>
        <v>24098.5540215</v>
      </c>
      <c r="T6" s="5">
        <f>S6/1000000</f>
        <v>2.4098554021500001E-2</v>
      </c>
      <c r="V6" t="s">
        <v>349</v>
      </c>
      <c r="W6" s="13" t="s">
        <v>350</v>
      </c>
      <c r="X6" t="s">
        <v>328</v>
      </c>
      <c r="Y6" s="13" t="s">
        <v>351</v>
      </c>
      <c r="Z6" t="s">
        <v>330</v>
      </c>
      <c r="AA6" t="s">
        <v>352</v>
      </c>
      <c r="AB6" s="13" t="s">
        <v>353</v>
      </c>
      <c r="AF6" t="s">
        <v>333</v>
      </c>
      <c r="AG6" s="111" t="s">
        <v>354</v>
      </c>
      <c r="AH6" s="112"/>
      <c r="AI6" t="s">
        <v>355</v>
      </c>
      <c r="AJ6" t="s">
        <v>356</v>
      </c>
    </row>
    <row r="7" spans="1:39" ht="45" customHeight="1">
      <c r="A7" s="129">
        <v>6</v>
      </c>
      <c r="B7" t="s">
        <v>343</v>
      </c>
      <c r="C7" s="73">
        <v>46049.645833333336</v>
      </c>
      <c r="D7" s="12" t="s">
        <v>344</v>
      </c>
      <c r="E7" t="s">
        <v>336</v>
      </c>
      <c r="F7" t="s">
        <v>345</v>
      </c>
      <c r="G7" s="67" t="s">
        <v>346</v>
      </c>
      <c r="H7" t="s">
        <v>357</v>
      </c>
      <c r="I7" t="s">
        <v>14</v>
      </c>
      <c r="J7" t="s">
        <v>319</v>
      </c>
      <c r="K7">
        <v>6.7</v>
      </c>
      <c r="L7">
        <v>100</v>
      </c>
      <c r="M7">
        <v>-56406.8</v>
      </c>
      <c r="O7" t="s">
        <v>348</v>
      </c>
      <c r="P7">
        <v>-1</v>
      </c>
      <c r="Q7">
        <v>0.84189000000000003</v>
      </c>
      <c r="R7" s="61">
        <f t="shared" si="0"/>
        <v>-47488.320852000004</v>
      </c>
      <c r="S7">
        <f t="shared" si="1"/>
        <v>47488.320852000004</v>
      </c>
      <c r="T7" s="5">
        <f>S7/1000000</f>
        <v>4.7488320852000006E-2</v>
      </c>
      <c r="V7" t="s">
        <v>349</v>
      </c>
      <c r="W7" s="36" t="s">
        <v>358</v>
      </c>
      <c r="X7" t="s">
        <v>328</v>
      </c>
      <c r="Y7" s="13" t="s">
        <v>351</v>
      </c>
      <c r="Z7" t="s">
        <v>330</v>
      </c>
      <c r="AA7" t="s">
        <v>352</v>
      </c>
      <c r="AB7" s="13" t="s">
        <v>353</v>
      </c>
      <c r="AF7" t="s">
        <v>333</v>
      </c>
      <c r="AG7" s="112"/>
      <c r="AH7" s="112"/>
      <c r="AI7" t="s">
        <v>355</v>
      </c>
      <c r="AJ7" t="s">
        <v>356</v>
      </c>
    </row>
    <row r="8" spans="1:39">
      <c r="A8" s="129">
        <v>7</v>
      </c>
      <c r="B8" t="s">
        <v>359</v>
      </c>
      <c r="C8" s="73">
        <v>46050.008333333331</v>
      </c>
      <c r="D8" t="s">
        <v>316</v>
      </c>
      <c r="E8" t="s">
        <v>321</v>
      </c>
      <c r="F8" t="s">
        <v>317</v>
      </c>
      <c r="G8" s="67" t="s">
        <v>318</v>
      </c>
      <c r="H8" t="s">
        <v>25</v>
      </c>
      <c r="J8" t="s">
        <v>319</v>
      </c>
      <c r="K8">
        <v>1.2032400000000001</v>
      </c>
      <c r="L8">
        <v>42000</v>
      </c>
      <c r="M8">
        <f>-(L8*K8)*Q8</f>
        <v>-42545.820391200003</v>
      </c>
      <c r="N8">
        <v>1.1448</v>
      </c>
      <c r="O8">
        <v>1.2691600000000001</v>
      </c>
      <c r="P8">
        <v>-1</v>
      </c>
      <c r="Q8">
        <v>0.84189000000000003</v>
      </c>
      <c r="R8" s="61">
        <f t="shared" si="0"/>
        <v>-35818.900729147368</v>
      </c>
      <c r="S8">
        <v>0</v>
      </c>
      <c r="T8" s="5">
        <f t="shared" ref="T8:T71" si="2">S8/1000000</f>
        <v>0</v>
      </c>
      <c r="U8" s="3">
        <v>0.06</v>
      </c>
    </row>
    <row r="9" spans="1:39">
      <c r="A9" s="129">
        <v>8</v>
      </c>
      <c r="B9" t="s">
        <v>359</v>
      </c>
      <c r="C9" s="73">
        <v>46050.009027777778</v>
      </c>
      <c r="D9" t="s">
        <v>316</v>
      </c>
      <c r="E9" t="s">
        <v>321</v>
      </c>
      <c r="F9" t="s">
        <v>317</v>
      </c>
      <c r="G9" s="67" t="s">
        <v>360</v>
      </c>
      <c r="H9" t="s">
        <v>25</v>
      </c>
      <c r="J9" t="s">
        <v>319</v>
      </c>
      <c r="K9">
        <v>1.3835200000000001</v>
      </c>
      <c r="L9">
        <v>34000</v>
      </c>
      <c r="M9">
        <f>-(L9*K9)*Q9</f>
        <v>-39602.236195199999</v>
      </c>
      <c r="N9">
        <v>1.3022800000000001</v>
      </c>
      <c r="O9">
        <v>1.4539899999999999</v>
      </c>
      <c r="P9">
        <v>-1</v>
      </c>
      <c r="Q9">
        <v>0.84189000000000003</v>
      </c>
      <c r="R9" s="61">
        <f t="shared" si="0"/>
        <v>-33340.726630376928</v>
      </c>
      <c r="S9">
        <v>0</v>
      </c>
      <c r="T9" s="5">
        <f t="shared" si="2"/>
        <v>0</v>
      </c>
      <c r="U9" s="3">
        <v>0.06</v>
      </c>
    </row>
    <row r="10" spans="1:39" ht="57.6">
      <c r="A10" s="129">
        <v>9</v>
      </c>
      <c r="B10" t="s">
        <v>315</v>
      </c>
      <c r="C10" s="73">
        <v>46051.645833333336</v>
      </c>
      <c r="D10" t="s">
        <v>316</v>
      </c>
      <c r="E10" t="s">
        <v>336</v>
      </c>
      <c r="F10" t="s">
        <v>361</v>
      </c>
      <c r="G10" s="67" t="s">
        <v>39</v>
      </c>
      <c r="H10" t="s">
        <v>361</v>
      </c>
      <c r="J10" t="s">
        <v>319</v>
      </c>
      <c r="K10">
        <v>121.479</v>
      </c>
      <c r="L10">
        <v>300</v>
      </c>
      <c r="M10">
        <v>-30472.09</v>
      </c>
      <c r="O10" t="s">
        <v>362</v>
      </c>
      <c r="P10">
        <v>-1</v>
      </c>
      <c r="Q10">
        <v>0.83613999999999999</v>
      </c>
      <c r="R10" s="61">
        <f t="shared" si="0"/>
        <v>-25478.933332600001</v>
      </c>
      <c r="S10">
        <f t="shared" si="1"/>
        <v>25478.933332600001</v>
      </c>
      <c r="T10" s="5">
        <f t="shared" si="2"/>
        <v>2.5478933332600002E-2</v>
      </c>
      <c r="U10">
        <v>30</v>
      </c>
      <c r="V10" t="s">
        <v>363</v>
      </c>
      <c r="W10" s="15" t="s">
        <v>364</v>
      </c>
      <c r="X10" s="2" t="s">
        <v>365</v>
      </c>
      <c r="Y10" s="15" t="s">
        <v>366</v>
      </c>
      <c r="Z10" t="s">
        <v>330</v>
      </c>
      <c r="AA10" s="13" t="s">
        <v>367</v>
      </c>
      <c r="AB10" t="s">
        <v>368</v>
      </c>
      <c r="AF10" s="17" t="s">
        <v>369</v>
      </c>
      <c r="AG10" s="15" t="s">
        <v>370</v>
      </c>
      <c r="AI10" t="s">
        <v>371</v>
      </c>
      <c r="AJ10" t="s">
        <v>335</v>
      </c>
    </row>
    <row r="11" spans="1:39" ht="57.6">
      <c r="A11" s="129">
        <v>10</v>
      </c>
      <c r="B11" t="s">
        <v>315</v>
      </c>
      <c r="C11" s="73">
        <v>46052.645833333336</v>
      </c>
      <c r="D11" t="s">
        <v>316</v>
      </c>
      <c r="E11" t="s">
        <v>336</v>
      </c>
      <c r="F11" t="s">
        <v>361</v>
      </c>
      <c r="G11" s="67" t="s">
        <v>38</v>
      </c>
      <c r="H11" t="s">
        <v>361</v>
      </c>
      <c r="J11" t="s">
        <v>319</v>
      </c>
      <c r="K11">
        <v>5551.5</v>
      </c>
      <c r="L11">
        <v>7</v>
      </c>
      <c r="M11">
        <v>-32492.87</v>
      </c>
      <c r="O11" t="s">
        <v>362</v>
      </c>
      <c r="P11">
        <v>-1</v>
      </c>
      <c r="Q11">
        <v>0.83613999999999999</v>
      </c>
      <c r="R11" s="61">
        <f t="shared" si="0"/>
        <v>-27168.588321799998</v>
      </c>
      <c r="S11">
        <f t="shared" si="1"/>
        <v>27168.588321799998</v>
      </c>
      <c r="T11" s="5">
        <f t="shared" si="2"/>
        <v>2.7168588321799997E-2</v>
      </c>
      <c r="U11">
        <v>30</v>
      </c>
      <c r="V11" t="s">
        <v>363</v>
      </c>
      <c r="W11" s="15" t="s">
        <v>372</v>
      </c>
      <c r="X11" s="2" t="s">
        <v>365</v>
      </c>
      <c r="Y11" s="15" t="s">
        <v>373</v>
      </c>
      <c r="Z11" t="s">
        <v>330</v>
      </c>
      <c r="AA11" s="13" t="s">
        <v>367</v>
      </c>
      <c r="AB11" s="16" t="s">
        <v>368</v>
      </c>
      <c r="AF11" s="17" t="s">
        <v>369</v>
      </c>
      <c r="AG11" s="16" t="s">
        <v>374</v>
      </c>
      <c r="AI11" t="s">
        <v>371</v>
      </c>
      <c r="AJ11" t="s">
        <v>335</v>
      </c>
    </row>
    <row r="12" spans="1:39">
      <c r="A12" s="129">
        <v>11</v>
      </c>
      <c r="B12" t="s">
        <v>343</v>
      </c>
      <c r="C12" s="73">
        <v>46056.704861111109</v>
      </c>
      <c r="D12" t="s">
        <v>344</v>
      </c>
      <c r="E12" t="s">
        <v>336</v>
      </c>
      <c r="F12" t="s">
        <v>345</v>
      </c>
      <c r="G12" s="67" t="s">
        <v>346</v>
      </c>
      <c r="H12" t="s">
        <v>347</v>
      </c>
      <c r="I12" t="s">
        <v>14</v>
      </c>
      <c r="J12" t="s">
        <v>320</v>
      </c>
      <c r="K12">
        <v>0.56000000000000005</v>
      </c>
      <c r="L12">
        <v>-100</v>
      </c>
      <c r="M12">
        <v>4748.1400000000003</v>
      </c>
      <c r="P12">
        <v>-1</v>
      </c>
      <c r="Q12">
        <v>0.84787999999999997</v>
      </c>
      <c r="R12" s="61">
        <f t="shared" si="0"/>
        <v>4025.8529432</v>
      </c>
      <c r="S12">
        <f t="shared" si="1"/>
        <v>4025.8529432</v>
      </c>
      <c r="T12" s="5">
        <f t="shared" si="2"/>
        <v>4.0258529431999998E-3</v>
      </c>
      <c r="W12" s="15"/>
      <c r="X12" s="2"/>
      <c r="Y12" s="15"/>
      <c r="AA12" s="13"/>
      <c r="AB12" s="16"/>
      <c r="AF12" s="17"/>
      <c r="AG12" s="16"/>
    </row>
    <row r="13" spans="1:39">
      <c r="A13" s="129">
        <v>12</v>
      </c>
      <c r="B13" t="s">
        <v>343</v>
      </c>
      <c r="C13" s="73">
        <v>46056.704861111109</v>
      </c>
      <c r="D13" t="s">
        <v>344</v>
      </c>
      <c r="E13" t="s">
        <v>336</v>
      </c>
      <c r="F13" s="16" t="s">
        <v>345</v>
      </c>
      <c r="G13" s="67" t="s">
        <v>346</v>
      </c>
      <c r="H13" t="s">
        <v>357</v>
      </c>
      <c r="I13" t="s">
        <v>14</v>
      </c>
      <c r="J13" t="s">
        <v>320</v>
      </c>
      <c r="K13">
        <v>9.7100000000000009</v>
      </c>
      <c r="L13">
        <v>-100</v>
      </c>
      <c r="M13">
        <v>82329.3</v>
      </c>
      <c r="P13">
        <v>-1</v>
      </c>
      <c r="Q13">
        <v>0.84787999999999997</v>
      </c>
      <c r="R13" s="61">
        <f t="shared" si="0"/>
        <v>69805.366884000003</v>
      </c>
      <c r="S13">
        <f t="shared" si="1"/>
        <v>69805.366884000003</v>
      </c>
      <c r="T13" s="5">
        <f t="shared" si="2"/>
        <v>6.9805366884000006E-2</v>
      </c>
      <c r="W13" s="15"/>
      <c r="X13" s="2"/>
      <c r="Y13" s="15"/>
      <c r="AA13" s="13"/>
      <c r="AB13" s="16"/>
      <c r="AF13" s="17"/>
      <c r="AG13" s="16"/>
    </row>
    <row r="14" spans="1:39">
      <c r="A14" s="129">
        <v>13</v>
      </c>
      <c r="B14" t="s">
        <v>315</v>
      </c>
      <c r="C14" s="73">
        <v>46058.84652777778</v>
      </c>
      <c r="D14" t="s">
        <v>316</v>
      </c>
      <c r="E14" t="s">
        <v>336</v>
      </c>
      <c r="F14" t="s">
        <v>322</v>
      </c>
      <c r="G14" s="67" t="s">
        <v>323</v>
      </c>
      <c r="H14" t="s">
        <v>77</v>
      </c>
      <c r="J14" t="s">
        <v>320</v>
      </c>
      <c r="K14">
        <v>66137.210000000006</v>
      </c>
      <c r="L14">
        <v>-0.1709</v>
      </c>
      <c r="M14" s="54">
        <v>9572.93</v>
      </c>
      <c r="P14">
        <v>-1</v>
      </c>
      <c r="Q14">
        <v>0.84694999999999998</v>
      </c>
      <c r="R14" s="61">
        <f t="shared" si="0"/>
        <v>8107.7930635000002</v>
      </c>
      <c r="S14">
        <f t="shared" si="1"/>
        <v>8107.7930635000002</v>
      </c>
      <c r="T14" s="5">
        <f t="shared" si="2"/>
        <v>8.1077930635000007E-3</v>
      </c>
      <c r="W14" s="15"/>
      <c r="X14" s="2"/>
      <c r="Y14" s="15"/>
      <c r="AA14" s="13"/>
      <c r="AB14" s="16"/>
      <c r="AF14" s="17"/>
      <c r="AG14" s="16"/>
    </row>
    <row r="15" spans="1:39" ht="43.2">
      <c r="A15" s="129">
        <v>14</v>
      </c>
      <c r="B15" t="s">
        <v>375</v>
      </c>
      <c r="C15" s="73">
        <v>46059.745833333334</v>
      </c>
      <c r="D15" t="s">
        <v>316</v>
      </c>
      <c r="E15" t="s">
        <v>336</v>
      </c>
      <c r="F15" t="s">
        <v>376</v>
      </c>
      <c r="G15" s="78" t="s">
        <v>377</v>
      </c>
      <c r="H15" t="s">
        <v>378</v>
      </c>
      <c r="J15" t="s">
        <v>319</v>
      </c>
      <c r="K15">
        <v>755.21622000000002</v>
      </c>
      <c r="L15">
        <v>1</v>
      </c>
      <c r="M15">
        <v>-647.20000000000005</v>
      </c>
      <c r="O15" t="s">
        <v>362</v>
      </c>
      <c r="P15">
        <v>-1</v>
      </c>
      <c r="Q15">
        <v>0.84916999999999998</v>
      </c>
      <c r="R15" s="61">
        <f t="shared" si="0"/>
        <v>-549.58282400000007</v>
      </c>
      <c r="S15">
        <f t="shared" si="1"/>
        <v>549.58282400000007</v>
      </c>
      <c r="T15" s="5">
        <f t="shared" si="2"/>
        <v>5.4958282400000003E-4</v>
      </c>
      <c r="U15" s="61">
        <v>15</v>
      </c>
      <c r="V15" s="61" t="s">
        <v>379</v>
      </c>
      <c r="W15" s="64" t="s">
        <v>380</v>
      </c>
      <c r="X15" s="65" t="s">
        <v>381</v>
      </c>
      <c r="Y15" s="65" t="s">
        <v>382</v>
      </c>
      <c r="Z15" s="61" t="s">
        <v>383</v>
      </c>
      <c r="AA15" s="61" t="s">
        <v>384</v>
      </c>
      <c r="AB15" s="61" t="s">
        <v>385</v>
      </c>
      <c r="AC15" s="61"/>
      <c r="AD15" s="61"/>
      <c r="AE15" s="61"/>
      <c r="AF15" s="61"/>
      <c r="AG15" s="61"/>
      <c r="AH15" s="61"/>
      <c r="AI15" s="61" t="s">
        <v>371</v>
      </c>
      <c r="AJ15" s="61" t="s">
        <v>386</v>
      </c>
    </row>
    <row r="16" spans="1:39" ht="43.2">
      <c r="A16" s="129">
        <v>15</v>
      </c>
      <c r="B16" t="s">
        <v>343</v>
      </c>
      <c r="C16" s="73">
        <v>46059.750694444447</v>
      </c>
      <c r="D16" s="12" t="s">
        <v>344</v>
      </c>
      <c r="E16" t="s">
        <v>336</v>
      </c>
      <c r="F16" s="16" t="s">
        <v>345</v>
      </c>
      <c r="G16" s="78" t="s">
        <v>387</v>
      </c>
      <c r="H16" t="s">
        <v>347</v>
      </c>
      <c r="I16" t="s">
        <v>14</v>
      </c>
      <c r="J16" t="s">
        <v>319</v>
      </c>
      <c r="K16">
        <v>7.75</v>
      </c>
      <c r="L16">
        <v>50</v>
      </c>
      <c r="M16">
        <v>-32905.35</v>
      </c>
      <c r="O16" t="s">
        <v>388</v>
      </c>
      <c r="P16">
        <v>-1</v>
      </c>
      <c r="Q16">
        <v>0.84916999999999998</v>
      </c>
      <c r="R16" s="61">
        <f t="shared" si="0"/>
        <v>-27942.236059499999</v>
      </c>
      <c r="S16">
        <f>ABS(R16)</f>
        <v>27942.236059499999</v>
      </c>
      <c r="T16" s="5">
        <f t="shared" si="2"/>
        <v>2.7942236059499997E-2</v>
      </c>
      <c r="V16" t="s">
        <v>389</v>
      </c>
      <c r="W16" s="36" t="s">
        <v>390</v>
      </c>
      <c r="X16" s="2" t="s">
        <v>365</v>
      </c>
      <c r="Y16" s="36" t="s">
        <v>391</v>
      </c>
      <c r="Z16" t="s">
        <v>330</v>
      </c>
      <c r="AA16" t="s">
        <v>384</v>
      </c>
      <c r="AB16" t="s">
        <v>392</v>
      </c>
      <c r="AI16" t="s">
        <v>355</v>
      </c>
      <c r="AJ16" t="s">
        <v>393</v>
      </c>
    </row>
    <row r="17" spans="1:36" ht="44.4">
      <c r="A17" s="129">
        <v>16</v>
      </c>
      <c r="B17" t="s">
        <v>375</v>
      </c>
      <c r="C17" s="73">
        <v>46059.75277777778</v>
      </c>
      <c r="D17" t="s">
        <v>316</v>
      </c>
      <c r="E17" t="s">
        <v>336</v>
      </c>
      <c r="F17" t="s">
        <v>376</v>
      </c>
      <c r="G17" s="78" t="s">
        <v>377</v>
      </c>
      <c r="H17" t="s">
        <v>378</v>
      </c>
      <c r="J17" t="s">
        <v>319</v>
      </c>
      <c r="K17" s="55">
        <v>755.21622000000002</v>
      </c>
      <c r="L17">
        <v>45</v>
      </c>
      <c r="M17">
        <f>-29123.83</f>
        <v>-29123.83</v>
      </c>
      <c r="O17" t="s">
        <v>362</v>
      </c>
      <c r="P17">
        <v>-1</v>
      </c>
      <c r="Q17">
        <v>0.84916999999999998</v>
      </c>
      <c r="R17" s="61">
        <f t="shared" si="0"/>
        <v>-24731.0827211</v>
      </c>
      <c r="S17">
        <f t="shared" si="1"/>
        <v>24731.0827211</v>
      </c>
      <c r="T17" s="5">
        <f t="shared" si="2"/>
        <v>2.4731082721100001E-2</v>
      </c>
      <c r="U17">
        <v>15</v>
      </c>
      <c r="V17" t="s">
        <v>379</v>
      </c>
      <c r="W17" s="36" t="s">
        <v>380</v>
      </c>
      <c r="X17" s="13" t="s">
        <v>381</v>
      </c>
      <c r="Y17" s="13" t="s">
        <v>382</v>
      </c>
      <c r="Z17" t="s">
        <v>383</v>
      </c>
      <c r="AA17" t="s">
        <v>384</v>
      </c>
      <c r="AB17" t="s">
        <v>385</v>
      </c>
      <c r="AI17" t="s">
        <v>371</v>
      </c>
      <c r="AJ17" t="s">
        <v>386</v>
      </c>
    </row>
    <row r="18" spans="1:36" ht="43.2">
      <c r="A18" s="129">
        <v>17</v>
      </c>
      <c r="B18" t="s">
        <v>375</v>
      </c>
      <c r="C18" s="73">
        <v>46060.125</v>
      </c>
      <c r="D18" t="s">
        <v>316</v>
      </c>
      <c r="E18" t="s">
        <v>321</v>
      </c>
      <c r="F18" t="s">
        <v>376</v>
      </c>
      <c r="G18" s="67" t="s">
        <v>394</v>
      </c>
      <c r="H18" t="s">
        <v>378</v>
      </c>
      <c r="J18" t="s">
        <v>319</v>
      </c>
      <c r="K18">
        <v>660.46</v>
      </c>
      <c r="L18" s="66">
        <v>22</v>
      </c>
      <c r="M18" s="54">
        <v>-14660.46</v>
      </c>
      <c r="O18" t="s">
        <v>362</v>
      </c>
      <c r="P18">
        <v>-1</v>
      </c>
      <c r="Q18">
        <v>1</v>
      </c>
      <c r="R18" s="61">
        <f t="shared" si="0"/>
        <v>-14660.46</v>
      </c>
      <c r="S18">
        <f t="shared" si="1"/>
        <v>14660.46</v>
      </c>
      <c r="T18" s="5">
        <f t="shared" si="2"/>
        <v>1.4660459999999998E-2</v>
      </c>
      <c r="U18">
        <v>15</v>
      </c>
      <c r="V18" t="s">
        <v>379</v>
      </c>
      <c r="W18" s="36" t="s">
        <v>380</v>
      </c>
      <c r="X18" s="13" t="s">
        <v>381</v>
      </c>
      <c r="Y18" s="13" t="s">
        <v>382</v>
      </c>
      <c r="Z18" t="s">
        <v>383</v>
      </c>
      <c r="AA18" t="s">
        <v>384</v>
      </c>
      <c r="AB18" t="s">
        <v>385</v>
      </c>
      <c r="AI18" t="s">
        <v>371</v>
      </c>
      <c r="AJ18" t="s">
        <v>386</v>
      </c>
    </row>
    <row r="19" spans="1:36" ht="16.8">
      <c r="A19" s="129">
        <v>18</v>
      </c>
      <c r="B19" t="s">
        <v>375</v>
      </c>
      <c r="C19" s="73">
        <v>46062.385416666664</v>
      </c>
      <c r="D19" t="s">
        <v>316</v>
      </c>
      <c r="E19" t="s">
        <v>395</v>
      </c>
      <c r="F19" t="s">
        <v>376</v>
      </c>
      <c r="G19" s="67" t="s">
        <v>396</v>
      </c>
      <c r="H19" t="s">
        <v>378</v>
      </c>
      <c r="J19" t="s">
        <v>319</v>
      </c>
      <c r="K19" s="55">
        <v>926.26099999999997</v>
      </c>
      <c r="L19" s="66">
        <v>15</v>
      </c>
      <c r="M19">
        <v>-14096.48</v>
      </c>
      <c r="O19" t="s">
        <v>1006</v>
      </c>
      <c r="P19">
        <v>-1</v>
      </c>
      <c r="Q19">
        <v>1</v>
      </c>
      <c r="R19" s="61">
        <f t="shared" si="0"/>
        <v>-14096.48</v>
      </c>
      <c r="S19">
        <f t="shared" si="1"/>
        <v>14096.48</v>
      </c>
      <c r="T19" s="5">
        <f t="shared" si="2"/>
        <v>1.409648E-2</v>
      </c>
      <c r="Y19" s="55" t="s">
        <v>1005</v>
      </c>
      <c r="AI19" t="s">
        <v>1010</v>
      </c>
    </row>
    <row r="20" spans="1:36" ht="16.8">
      <c r="A20" s="129">
        <v>19</v>
      </c>
      <c r="B20" t="s">
        <v>375</v>
      </c>
      <c r="C20" s="73">
        <v>46062.645833333336</v>
      </c>
      <c r="D20" t="s">
        <v>316</v>
      </c>
      <c r="E20" t="s">
        <v>336</v>
      </c>
      <c r="F20" t="s">
        <v>376</v>
      </c>
      <c r="G20" s="67" t="s">
        <v>398</v>
      </c>
      <c r="H20" t="s">
        <v>378</v>
      </c>
      <c r="J20" t="s">
        <v>319</v>
      </c>
      <c r="K20" s="53">
        <v>1044.1575</v>
      </c>
      <c r="L20" s="66">
        <v>23</v>
      </c>
      <c r="M20" s="54">
        <v>-20522.61</v>
      </c>
      <c r="O20" t="s">
        <v>1006</v>
      </c>
      <c r="P20">
        <v>-1</v>
      </c>
      <c r="Q20" s="55">
        <v>0.84670000000000001</v>
      </c>
      <c r="R20" s="61">
        <f t="shared" si="0"/>
        <v>-17376.493887000001</v>
      </c>
      <c r="S20">
        <f t="shared" si="1"/>
        <v>17376.493887000001</v>
      </c>
      <c r="T20" s="5">
        <f t="shared" si="2"/>
        <v>1.7376493887000001E-2</v>
      </c>
      <c r="Y20" s="55" t="s">
        <v>399</v>
      </c>
      <c r="AI20" t="s">
        <v>1010</v>
      </c>
    </row>
    <row r="21" spans="1:36" ht="16.8">
      <c r="A21" s="129">
        <v>20</v>
      </c>
      <c r="B21" t="s">
        <v>375</v>
      </c>
      <c r="C21" s="73">
        <v>46062.645833333336</v>
      </c>
      <c r="D21" t="s">
        <v>316</v>
      </c>
      <c r="E21" t="s">
        <v>336</v>
      </c>
      <c r="F21" t="s">
        <v>376</v>
      </c>
      <c r="G21" s="67" t="s">
        <v>400</v>
      </c>
      <c r="H21" t="s">
        <v>378</v>
      </c>
      <c r="J21" t="s">
        <v>319</v>
      </c>
      <c r="K21" s="55">
        <v>888.02</v>
      </c>
      <c r="L21" s="66">
        <v>27</v>
      </c>
      <c r="M21" s="54">
        <v>-20303</v>
      </c>
      <c r="O21" t="s">
        <v>1006</v>
      </c>
      <c r="P21">
        <v>-1</v>
      </c>
      <c r="Q21" s="55">
        <v>0.84670000000000001</v>
      </c>
      <c r="R21" s="61">
        <f t="shared" si="0"/>
        <v>-17190.5501</v>
      </c>
      <c r="S21">
        <f t="shared" si="1"/>
        <v>17190.5501</v>
      </c>
      <c r="T21" s="5">
        <f t="shared" si="2"/>
        <v>1.71905501E-2</v>
      </c>
      <c r="Y21" s="55" t="s">
        <v>401</v>
      </c>
      <c r="AI21" t="s">
        <v>1010</v>
      </c>
    </row>
    <row r="22" spans="1:36" ht="16.8">
      <c r="A22" s="129">
        <v>21</v>
      </c>
      <c r="B22" t="s">
        <v>375</v>
      </c>
      <c r="C22" s="73">
        <v>46062.645833333336</v>
      </c>
      <c r="D22" t="s">
        <v>316</v>
      </c>
      <c r="E22" t="s">
        <v>336</v>
      </c>
      <c r="F22" t="s">
        <v>376</v>
      </c>
      <c r="G22" s="67" t="s">
        <v>402</v>
      </c>
      <c r="H22" t="s">
        <v>378</v>
      </c>
      <c r="J22" t="s">
        <v>319</v>
      </c>
      <c r="K22" s="53">
        <v>1012.2</v>
      </c>
      <c r="L22" s="66">
        <v>20</v>
      </c>
      <c r="M22" s="54">
        <v>-17161.41</v>
      </c>
      <c r="O22" t="s">
        <v>1006</v>
      </c>
      <c r="P22">
        <v>-1</v>
      </c>
      <c r="Q22" s="55">
        <v>0.84670000000000001</v>
      </c>
      <c r="R22" s="61">
        <f t="shared" si="0"/>
        <v>-14530.565847</v>
      </c>
      <c r="S22">
        <f t="shared" si="1"/>
        <v>14530.565847</v>
      </c>
      <c r="T22" s="5">
        <f t="shared" si="2"/>
        <v>1.4530565847E-2</v>
      </c>
      <c r="Y22" s="55" t="s">
        <v>403</v>
      </c>
      <c r="AI22" t="s">
        <v>1010</v>
      </c>
    </row>
    <row r="23" spans="1:36" ht="16.8">
      <c r="A23" s="129">
        <v>22</v>
      </c>
      <c r="B23" t="s">
        <v>375</v>
      </c>
      <c r="C23" s="73">
        <v>46062.645833333336</v>
      </c>
      <c r="D23" t="s">
        <v>316</v>
      </c>
      <c r="E23" t="s">
        <v>336</v>
      </c>
      <c r="F23" t="s">
        <v>376</v>
      </c>
      <c r="G23" s="67" t="s">
        <v>404</v>
      </c>
      <c r="H23" t="s">
        <v>378</v>
      </c>
      <c r="J23" t="s">
        <v>319</v>
      </c>
      <c r="K23" s="54">
        <v>1084.6099999999999</v>
      </c>
      <c r="L23" s="66">
        <v>19</v>
      </c>
      <c r="M23" s="54">
        <v>-17445.52</v>
      </c>
      <c r="O23" t="s">
        <v>1006</v>
      </c>
      <c r="P23">
        <v>-1</v>
      </c>
      <c r="Q23" s="55">
        <v>0.84670000000000001</v>
      </c>
      <c r="R23" s="61">
        <f t="shared" si="0"/>
        <v>-14771.121784000001</v>
      </c>
      <c r="S23">
        <f t="shared" si="1"/>
        <v>14771.121784000001</v>
      </c>
      <c r="T23" s="5">
        <f t="shared" si="2"/>
        <v>1.4771121784E-2</v>
      </c>
      <c r="Y23" s="55" t="s">
        <v>405</v>
      </c>
      <c r="AI23" t="s">
        <v>1010</v>
      </c>
    </row>
    <row r="24" spans="1:36" ht="16.8">
      <c r="A24" s="129">
        <v>23</v>
      </c>
      <c r="B24" t="s">
        <v>375</v>
      </c>
      <c r="C24" s="73">
        <v>46062.645833333336</v>
      </c>
      <c r="D24" t="s">
        <v>316</v>
      </c>
      <c r="E24" t="s">
        <v>336</v>
      </c>
      <c r="F24" t="s">
        <v>376</v>
      </c>
      <c r="G24" s="67" t="s">
        <v>406</v>
      </c>
      <c r="H24" t="s">
        <v>378</v>
      </c>
      <c r="J24" t="s">
        <v>319</v>
      </c>
      <c r="K24" s="53">
        <v>1366.1</v>
      </c>
      <c r="L24" s="66">
        <v>12</v>
      </c>
      <c r="M24" s="54">
        <v>-14126.58</v>
      </c>
      <c r="O24" t="s">
        <v>1006</v>
      </c>
      <c r="P24">
        <v>-1</v>
      </c>
      <c r="Q24" s="55">
        <v>0.84670000000000001</v>
      </c>
      <c r="R24" s="61">
        <f t="shared" si="0"/>
        <v>-11960.975286000001</v>
      </c>
      <c r="S24">
        <f t="shared" si="1"/>
        <v>11960.975286000001</v>
      </c>
      <c r="T24" s="5">
        <f t="shared" si="2"/>
        <v>1.1960975286E-2</v>
      </c>
      <c r="Y24" s="55" t="s">
        <v>407</v>
      </c>
      <c r="AI24" t="s">
        <v>1010</v>
      </c>
    </row>
    <row r="25" spans="1:36" ht="16.8">
      <c r="A25" s="129">
        <v>24</v>
      </c>
      <c r="B25" t="s">
        <v>375</v>
      </c>
      <c r="C25" s="73">
        <v>46062.645833333336</v>
      </c>
      <c r="D25" t="s">
        <v>316</v>
      </c>
      <c r="E25" t="s">
        <v>336</v>
      </c>
      <c r="F25" t="s">
        <v>376</v>
      </c>
      <c r="G25" s="67" t="s">
        <v>408</v>
      </c>
      <c r="H25" t="s">
        <v>378</v>
      </c>
      <c r="J25" t="s">
        <v>319</v>
      </c>
      <c r="K25" s="53">
        <v>1114.28</v>
      </c>
      <c r="L25" s="66">
        <v>15</v>
      </c>
      <c r="M25" s="54">
        <v>-14335.98</v>
      </c>
      <c r="O25" t="s">
        <v>1006</v>
      </c>
      <c r="P25">
        <v>-1</v>
      </c>
      <c r="Q25" s="55">
        <v>0.84670000000000001</v>
      </c>
      <c r="R25" s="61">
        <f t="shared" si="0"/>
        <v>-12138.274266</v>
      </c>
      <c r="S25">
        <f t="shared" si="1"/>
        <v>12138.274266</v>
      </c>
      <c r="T25" s="5">
        <f t="shared" si="2"/>
        <v>1.2138274266000001E-2</v>
      </c>
      <c r="Y25" s="55" t="s">
        <v>409</v>
      </c>
      <c r="AI25" t="s">
        <v>1010</v>
      </c>
    </row>
    <row r="26" spans="1:36" ht="16.8">
      <c r="A26" s="129">
        <v>25</v>
      </c>
      <c r="B26" t="s">
        <v>375</v>
      </c>
      <c r="C26" s="73">
        <v>46062.645833333336</v>
      </c>
      <c r="D26" t="s">
        <v>316</v>
      </c>
      <c r="E26" t="s">
        <v>336</v>
      </c>
      <c r="F26" t="s">
        <v>376</v>
      </c>
      <c r="G26" s="67" t="s">
        <v>410</v>
      </c>
      <c r="H26" t="s">
        <v>378</v>
      </c>
      <c r="J26" t="s">
        <v>319</v>
      </c>
      <c r="K26" s="53">
        <v>1090</v>
      </c>
      <c r="L26" s="66">
        <v>15</v>
      </c>
      <c r="M26" s="54">
        <v>-14118.6</v>
      </c>
      <c r="O26" t="s">
        <v>1006</v>
      </c>
      <c r="P26">
        <v>-1</v>
      </c>
      <c r="Q26" s="55">
        <v>0.84670000000000001</v>
      </c>
      <c r="R26" s="61">
        <f t="shared" si="0"/>
        <v>-11954.21862</v>
      </c>
      <c r="S26">
        <f t="shared" si="1"/>
        <v>11954.21862</v>
      </c>
      <c r="T26" s="5">
        <f t="shared" si="2"/>
        <v>1.195421862E-2</v>
      </c>
      <c r="Y26" s="55" t="s">
        <v>411</v>
      </c>
      <c r="AI26" t="s">
        <v>1010</v>
      </c>
    </row>
    <row r="27" spans="1:36" ht="16.8">
      <c r="A27" s="129">
        <v>26</v>
      </c>
      <c r="B27" t="s">
        <v>375</v>
      </c>
      <c r="C27" s="73">
        <v>46062.645833333336</v>
      </c>
      <c r="D27" t="s">
        <v>316</v>
      </c>
      <c r="E27" t="s">
        <v>336</v>
      </c>
      <c r="F27" t="s">
        <v>376</v>
      </c>
      <c r="G27" s="67" t="s">
        <v>412</v>
      </c>
      <c r="H27" t="s">
        <v>378</v>
      </c>
      <c r="J27" t="s">
        <v>319</v>
      </c>
      <c r="K27" s="53">
        <v>1004.57</v>
      </c>
      <c r="L27" s="66">
        <v>10</v>
      </c>
      <c r="M27" s="54">
        <v>-8759.24</v>
      </c>
      <c r="O27" t="s">
        <v>1006</v>
      </c>
      <c r="P27">
        <v>-1</v>
      </c>
      <c r="Q27" s="55">
        <v>0.84670000000000001</v>
      </c>
      <c r="R27" s="61">
        <f t="shared" si="0"/>
        <v>-7416.4485079999995</v>
      </c>
      <c r="S27">
        <f t="shared" si="1"/>
        <v>7416.4485079999995</v>
      </c>
      <c r="T27" s="5">
        <f t="shared" si="2"/>
        <v>7.4164485079999997E-3</v>
      </c>
      <c r="Y27" s="55" t="s">
        <v>413</v>
      </c>
      <c r="AI27" t="s">
        <v>1010</v>
      </c>
    </row>
    <row r="28" spans="1:36" ht="16.8">
      <c r="A28" s="129">
        <v>27</v>
      </c>
      <c r="B28" t="s">
        <v>375</v>
      </c>
      <c r="C28" s="73">
        <v>46062.645833333336</v>
      </c>
      <c r="D28" t="s">
        <v>316</v>
      </c>
      <c r="E28" t="s">
        <v>336</v>
      </c>
      <c r="F28" t="s">
        <v>376</v>
      </c>
      <c r="G28" s="67" t="s">
        <v>414</v>
      </c>
      <c r="H28" t="s">
        <v>378</v>
      </c>
      <c r="J28" t="s">
        <v>319</v>
      </c>
      <c r="K28" s="53">
        <v>1125.29</v>
      </c>
      <c r="L28" s="66">
        <v>10</v>
      </c>
      <c r="M28" s="54">
        <v>-9652.51</v>
      </c>
      <c r="O28" t="s">
        <v>1006</v>
      </c>
      <c r="P28">
        <v>-1</v>
      </c>
      <c r="Q28" s="55">
        <v>0.84670000000000001</v>
      </c>
      <c r="R28" s="61">
        <f t="shared" si="0"/>
        <v>-8172.7802170000004</v>
      </c>
      <c r="S28">
        <f t="shared" si="1"/>
        <v>8172.7802170000004</v>
      </c>
      <c r="T28" s="5">
        <f t="shared" si="2"/>
        <v>8.1727802170000006E-3</v>
      </c>
      <c r="Y28" s="55" t="s">
        <v>415</v>
      </c>
      <c r="AI28" t="s">
        <v>1010</v>
      </c>
    </row>
    <row r="29" spans="1:36" ht="16.8">
      <c r="A29" s="129">
        <v>28</v>
      </c>
      <c r="B29" t="s">
        <v>375</v>
      </c>
      <c r="C29" s="73">
        <v>46062.645833333336</v>
      </c>
      <c r="D29" t="s">
        <v>316</v>
      </c>
      <c r="E29" t="s">
        <v>336</v>
      </c>
      <c r="F29" t="s">
        <v>376</v>
      </c>
      <c r="G29" s="67" t="s">
        <v>416</v>
      </c>
      <c r="H29" t="s">
        <v>378</v>
      </c>
      <c r="J29" t="s">
        <v>319</v>
      </c>
      <c r="K29" s="53">
        <v>1045.52</v>
      </c>
      <c r="L29" s="66">
        <v>8</v>
      </c>
      <c r="M29" s="54">
        <v>-7199.29</v>
      </c>
      <c r="O29" t="s">
        <v>1006</v>
      </c>
      <c r="P29">
        <v>-1</v>
      </c>
      <c r="Q29" s="55">
        <v>0.84670000000000001</v>
      </c>
      <c r="R29" s="61">
        <f t="shared" si="0"/>
        <v>-6095.6388429999997</v>
      </c>
      <c r="S29">
        <f t="shared" si="1"/>
        <v>6095.6388429999997</v>
      </c>
      <c r="T29" s="5">
        <f t="shared" si="2"/>
        <v>6.0956388430000001E-3</v>
      </c>
      <c r="Y29" s="55" t="s">
        <v>417</v>
      </c>
      <c r="AI29" t="s">
        <v>1010</v>
      </c>
    </row>
    <row r="30" spans="1:36" ht="16.8">
      <c r="A30" s="129">
        <v>29</v>
      </c>
      <c r="B30" t="s">
        <v>343</v>
      </c>
      <c r="C30" s="73">
        <v>46062.907638888886</v>
      </c>
      <c r="D30" t="s">
        <v>344</v>
      </c>
      <c r="E30" t="s">
        <v>336</v>
      </c>
      <c r="F30" t="s">
        <v>345</v>
      </c>
      <c r="G30" s="78" t="s">
        <v>387</v>
      </c>
      <c r="H30" t="s">
        <v>347</v>
      </c>
      <c r="I30" t="s">
        <v>14</v>
      </c>
      <c r="J30" t="s">
        <v>320</v>
      </c>
      <c r="K30" s="55">
        <v>18.850000000000001</v>
      </c>
      <c r="L30" s="66">
        <v>-50</v>
      </c>
      <c r="M30" s="53">
        <v>79801.2</v>
      </c>
      <c r="O30" t="s">
        <v>1007</v>
      </c>
      <c r="P30">
        <v>-1</v>
      </c>
      <c r="Q30" s="55">
        <v>0.84670000000000001</v>
      </c>
      <c r="R30" s="61">
        <f t="shared" si="0"/>
        <v>67567.676039999991</v>
      </c>
      <c r="S30">
        <f t="shared" si="1"/>
        <v>67567.676039999991</v>
      </c>
      <c r="T30" s="5">
        <f t="shared" si="2"/>
        <v>6.7567676039999996E-2</v>
      </c>
      <c r="Y30" s="55" t="s">
        <v>418</v>
      </c>
      <c r="AI30" t="s">
        <v>1010</v>
      </c>
    </row>
    <row r="31" spans="1:36" ht="16.8">
      <c r="A31" s="129">
        <v>30</v>
      </c>
      <c r="B31" t="s">
        <v>375</v>
      </c>
      <c r="C31" s="73">
        <v>46062.916666666664</v>
      </c>
      <c r="D31" t="s">
        <v>316</v>
      </c>
      <c r="E31" t="s">
        <v>336</v>
      </c>
      <c r="F31" t="s">
        <v>376</v>
      </c>
      <c r="G31" s="67" t="s">
        <v>419</v>
      </c>
      <c r="H31" t="s">
        <v>378</v>
      </c>
      <c r="J31" t="s">
        <v>319</v>
      </c>
      <c r="K31" s="55">
        <v>888.3</v>
      </c>
      <c r="L31" s="66">
        <v>16</v>
      </c>
      <c r="M31" s="54">
        <v>-14318.22</v>
      </c>
      <c r="O31" t="s">
        <v>1006</v>
      </c>
      <c r="P31">
        <v>-1</v>
      </c>
      <c r="Q31">
        <v>1</v>
      </c>
      <c r="R31" s="61">
        <f t="shared" si="0"/>
        <v>-14318.22</v>
      </c>
      <c r="S31">
        <f t="shared" si="1"/>
        <v>14318.22</v>
      </c>
      <c r="T31" s="5">
        <f t="shared" si="2"/>
        <v>1.431822E-2</v>
      </c>
      <c r="Y31" s="55" t="s">
        <v>420</v>
      </c>
      <c r="AI31" t="s">
        <v>1010</v>
      </c>
    </row>
    <row r="32" spans="1:36" ht="16.8">
      <c r="A32" s="129">
        <v>31</v>
      </c>
      <c r="B32" t="s">
        <v>375</v>
      </c>
      <c r="C32" s="73">
        <v>46062.916666666664</v>
      </c>
      <c r="D32" t="s">
        <v>316</v>
      </c>
      <c r="E32" t="s">
        <v>336</v>
      </c>
      <c r="F32" t="s">
        <v>376</v>
      </c>
      <c r="G32" s="67" t="s">
        <v>421</v>
      </c>
      <c r="H32" t="s">
        <v>378</v>
      </c>
      <c r="J32" t="s">
        <v>319</v>
      </c>
      <c r="K32" s="55">
        <v>968.99</v>
      </c>
      <c r="L32" s="66">
        <v>18</v>
      </c>
      <c r="M32" s="54">
        <v>-17532.810000000001</v>
      </c>
      <c r="O32" t="s">
        <v>1006</v>
      </c>
      <c r="P32">
        <v>-1</v>
      </c>
      <c r="Q32">
        <v>1</v>
      </c>
      <c r="R32" s="61">
        <f t="shared" si="0"/>
        <v>-17532.810000000001</v>
      </c>
      <c r="S32">
        <f t="shared" si="1"/>
        <v>17532.810000000001</v>
      </c>
      <c r="T32" s="5">
        <f t="shared" si="2"/>
        <v>1.7532810000000003E-2</v>
      </c>
      <c r="Y32" s="55" t="s">
        <v>422</v>
      </c>
      <c r="AI32" t="s">
        <v>1010</v>
      </c>
    </row>
    <row r="33" spans="1:36" ht="16.8">
      <c r="A33" s="129">
        <v>32</v>
      </c>
      <c r="B33" t="s">
        <v>375</v>
      </c>
      <c r="C33" s="73">
        <v>46062.916666666664</v>
      </c>
      <c r="D33" t="s">
        <v>316</v>
      </c>
      <c r="E33" t="s">
        <v>336</v>
      </c>
      <c r="F33" t="s">
        <v>376</v>
      </c>
      <c r="G33" s="67" t="s">
        <v>423</v>
      </c>
      <c r="H33" t="s">
        <v>378</v>
      </c>
      <c r="J33" t="s">
        <v>319</v>
      </c>
      <c r="K33" s="55">
        <v>842.85</v>
      </c>
      <c r="L33" s="66">
        <v>8</v>
      </c>
      <c r="M33" s="54">
        <v>-6799.92</v>
      </c>
      <c r="O33" t="s">
        <v>1006</v>
      </c>
      <c r="P33">
        <v>-1</v>
      </c>
      <c r="Q33">
        <v>1</v>
      </c>
      <c r="R33" s="61">
        <f t="shared" si="0"/>
        <v>-6799.92</v>
      </c>
      <c r="S33">
        <f t="shared" si="1"/>
        <v>6799.92</v>
      </c>
      <c r="T33" s="5">
        <f t="shared" si="2"/>
        <v>6.7999200000000001E-3</v>
      </c>
      <c r="Y33" s="55" t="s">
        <v>424</v>
      </c>
      <c r="AI33" t="s">
        <v>1010</v>
      </c>
    </row>
    <row r="34" spans="1:36" ht="16.8">
      <c r="A34" s="129">
        <v>33</v>
      </c>
      <c r="B34" t="s">
        <v>375</v>
      </c>
      <c r="C34" s="73">
        <v>46062.916666666664</v>
      </c>
      <c r="D34" t="s">
        <v>316</v>
      </c>
      <c r="E34" t="s">
        <v>336</v>
      </c>
      <c r="F34" t="s">
        <v>376</v>
      </c>
      <c r="G34" s="67" t="s">
        <v>425</v>
      </c>
      <c r="H34" t="s">
        <v>378</v>
      </c>
      <c r="J34" t="s">
        <v>319</v>
      </c>
      <c r="K34" s="55">
        <v>753</v>
      </c>
      <c r="L34" s="66">
        <v>6</v>
      </c>
      <c r="M34" s="54">
        <v>-4535.41</v>
      </c>
      <c r="O34" t="s">
        <v>1006</v>
      </c>
      <c r="P34">
        <v>-1</v>
      </c>
      <c r="Q34">
        <v>1</v>
      </c>
      <c r="R34" s="61">
        <f t="shared" si="0"/>
        <v>-4535.41</v>
      </c>
      <c r="S34">
        <f t="shared" si="1"/>
        <v>4535.41</v>
      </c>
      <c r="T34" s="5">
        <f t="shared" si="2"/>
        <v>4.5354100000000001E-3</v>
      </c>
      <c r="Y34" s="55" t="s">
        <v>426</v>
      </c>
      <c r="AI34" t="s">
        <v>1010</v>
      </c>
    </row>
    <row r="35" spans="1:36" ht="16.8">
      <c r="C35" s="73">
        <v>46063.011805555558</v>
      </c>
      <c r="D35" t="s">
        <v>427</v>
      </c>
      <c r="E35" t="s">
        <v>321</v>
      </c>
      <c r="F35" t="s">
        <v>376</v>
      </c>
      <c r="G35" s="67" t="s">
        <v>404</v>
      </c>
      <c r="H35" t="s">
        <v>378</v>
      </c>
      <c r="J35" t="s">
        <v>319</v>
      </c>
      <c r="K35" s="55">
        <v>522.83542</v>
      </c>
      <c r="L35" s="66">
        <v>1</v>
      </c>
      <c r="M35" s="55">
        <v>522.84</v>
      </c>
      <c r="O35" t="s">
        <v>1006</v>
      </c>
      <c r="P35">
        <v>-1</v>
      </c>
      <c r="Q35" s="55">
        <v>0.84269000000000005</v>
      </c>
      <c r="R35" s="61">
        <f t="shared" si="0"/>
        <v>440.59203960000008</v>
      </c>
      <c r="S35">
        <f>ABS(R35)</f>
        <v>440.59203960000008</v>
      </c>
    </row>
    <row r="36" spans="1:36" ht="16.8">
      <c r="A36" s="80">
        <v>34</v>
      </c>
      <c r="B36" t="s">
        <v>375</v>
      </c>
      <c r="C36" s="73">
        <v>46063.125</v>
      </c>
      <c r="D36" t="s">
        <v>316</v>
      </c>
      <c r="E36" t="s">
        <v>321</v>
      </c>
      <c r="F36" t="s">
        <v>376</v>
      </c>
      <c r="G36" s="67" t="s">
        <v>428</v>
      </c>
      <c r="H36" t="s">
        <v>378</v>
      </c>
      <c r="J36" t="s">
        <v>319</v>
      </c>
      <c r="K36" s="53">
        <v>1183.5899999999999</v>
      </c>
      <c r="L36" s="66">
        <v>12</v>
      </c>
      <c r="M36" s="54">
        <v>-14256.18</v>
      </c>
      <c r="N36" s="54"/>
      <c r="O36" t="s">
        <v>1006</v>
      </c>
      <c r="P36">
        <v>-1</v>
      </c>
      <c r="Q36">
        <v>1</v>
      </c>
      <c r="R36" s="61">
        <f t="shared" si="0"/>
        <v>-14256.18</v>
      </c>
      <c r="S36">
        <f t="shared" si="1"/>
        <v>14256.18</v>
      </c>
      <c r="T36" s="5">
        <f t="shared" si="2"/>
        <v>1.425618E-2</v>
      </c>
      <c r="Y36" s="55" t="s">
        <v>426</v>
      </c>
    </row>
    <row r="37" spans="1:36" ht="16.8">
      <c r="A37" s="80">
        <v>35</v>
      </c>
      <c r="B37" t="s">
        <v>343</v>
      </c>
      <c r="C37" s="73">
        <v>46063.663888888892</v>
      </c>
      <c r="D37" t="s">
        <v>344</v>
      </c>
      <c r="E37" t="s">
        <v>336</v>
      </c>
      <c r="F37" t="s">
        <v>345</v>
      </c>
      <c r="G37" s="67" t="s">
        <v>429</v>
      </c>
      <c r="H37" t="s">
        <v>347</v>
      </c>
      <c r="I37" t="s">
        <v>14</v>
      </c>
      <c r="J37" t="s">
        <v>319</v>
      </c>
      <c r="K37" s="55">
        <v>12.6</v>
      </c>
      <c r="L37" s="66">
        <v>50</v>
      </c>
      <c r="M37" s="54">
        <v>-52892.73</v>
      </c>
      <c r="O37" t="s">
        <v>1007</v>
      </c>
      <c r="P37">
        <v>-1</v>
      </c>
      <c r="Q37" s="55">
        <v>0.83957000000000004</v>
      </c>
      <c r="R37" s="61">
        <f t="shared" si="0"/>
        <v>-44407.149326100007</v>
      </c>
      <c r="S37">
        <f t="shared" si="1"/>
        <v>44407.149326100007</v>
      </c>
      <c r="T37" s="5">
        <f t="shared" si="2"/>
        <v>4.4407149326100008E-2</v>
      </c>
      <c r="Y37" s="55" t="s">
        <v>430</v>
      </c>
    </row>
    <row r="38" spans="1:36" ht="16.8">
      <c r="A38" s="80">
        <v>36</v>
      </c>
      <c r="B38" t="s">
        <v>343</v>
      </c>
      <c r="C38" s="73">
        <v>46063.71875</v>
      </c>
      <c r="D38" t="s">
        <v>344</v>
      </c>
      <c r="E38" t="s">
        <v>336</v>
      </c>
      <c r="F38" t="s">
        <v>345</v>
      </c>
      <c r="G38" s="78" t="s">
        <v>387</v>
      </c>
      <c r="H38" t="s">
        <v>347</v>
      </c>
      <c r="I38" t="s">
        <v>14</v>
      </c>
      <c r="J38" t="s">
        <v>319</v>
      </c>
      <c r="K38" s="55">
        <v>6.05</v>
      </c>
      <c r="L38" s="66">
        <v>50</v>
      </c>
      <c r="M38" s="54">
        <v>-25396.91</v>
      </c>
      <c r="O38" t="s">
        <v>1007</v>
      </c>
      <c r="P38">
        <v>-1</v>
      </c>
      <c r="Q38" s="55">
        <v>0.83957000000000004</v>
      </c>
      <c r="R38" s="61">
        <f t="shared" si="0"/>
        <v>-21322.483728700001</v>
      </c>
      <c r="S38">
        <f t="shared" si="1"/>
        <v>21322.483728700001</v>
      </c>
      <c r="T38" s="5">
        <f t="shared" si="2"/>
        <v>2.1322483728699999E-2</v>
      </c>
      <c r="Y38" s="55" t="s">
        <v>431</v>
      </c>
    </row>
    <row r="39" spans="1:36" ht="30">
      <c r="A39" s="80">
        <v>37</v>
      </c>
      <c r="B39" t="s">
        <v>359</v>
      </c>
      <c r="C39" s="73">
        <v>46063.741666666669</v>
      </c>
      <c r="D39" t="s">
        <v>316</v>
      </c>
      <c r="E39" t="s">
        <v>336</v>
      </c>
      <c r="F39" t="s">
        <v>69</v>
      </c>
      <c r="G39" s="67" t="s">
        <v>432</v>
      </c>
      <c r="H39" t="s">
        <v>433</v>
      </c>
      <c r="J39" t="s">
        <v>319</v>
      </c>
      <c r="K39" s="55">
        <v>83.42</v>
      </c>
      <c r="L39" s="66">
        <v>400</v>
      </c>
      <c r="M39" s="54">
        <v>-28014.68</v>
      </c>
      <c r="O39" t="s">
        <v>362</v>
      </c>
      <c r="P39">
        <v>-1</v>
      </c>
      <c r="Q39" s="55">
        <v>0.83957000000000004</v>
      </c>
      <c r="R39" s="61">
        <f t="shared" si="0"/>
        <v>-23520.284887600003</v>
      </c>
      <c r="S39">
        <f t="shared" si="1"/>
        <v>23520.284887600003</v>
      </c>
      <c r="T39" s="5">
        <f t="shared" si="2"/>
        <v>2.3520284887600003E-2</v>
      </c>
      <c r="U39" s="5">
        <f>M39/1000000</f>
        <v>-2.801468E-2</v>
      </c>
      <c r="V39" t="s">
        <v>363</v>
      </c>
      <c r="W39" t="s">
        <v>434</v>
      </c>
      <c r="X39" t="s">
        <v>435</v>
      </c>
      <c r="Y39" s="13" t="s">
        <v>436</v>
      </c>
      <c r="Z39" t="s">
        <v>383</v>
      </c>
      <c r="AA39" t="s">
        <v>331</v>
      </c>
      <c r="AI39" t="s">
        <v>437</v>
      </c>
      <c r="AJ39" t="s">
        <v>386</v>
      </c>
    </row>
    <row r="40" spans="1:36" ht="16.8">
      <c r="C40" s="74">
        <v>46069.01458333333</v>
      </c>
      <c r="D40" t="s">
        <v>427</v>
      </c>
      <c r="E40" t="s">
        <v>321</v>
      </c>
      <c r="F40" t="s">
        <v>376</v>
      </c>
      <c r="G40" s="67" t="s">
        <v>394</v>
      </c>
      <c r="H40" t="s">
        <v>378</v>
      </c>
      <c r="J40" t="s">
        <v>319</v>
      </c>
      <c r="K40" s="55">
        <v>137.5</v>
      </c>
      <c r="L40" s="66">
        <v>1</v>
      </c>
      <c r="M40" s="55">
        <v>137.5</v>
      </c>
      <c r="O40" t="s">
        <v>1006</v>
      </c>
      <c r="P40">
        <v>-1</v>
      </c>
      <c r="Q40">
        <v>1</v>
      </c>
      <c r="R40" s="61">
        <f t="shared" si="0"/>
        <v>137.5</v>
      </c>
      <c r="S40">
        <f t="shared" si="1"/>
        <v>137.5</v>
      </c>
      <c r="T40" s="5">
        <f t="shared" si="2"/>
        <v>1.3750000000000001E-4</v>
      </c>
      <c r="U40" s="5"/>
      <c r="Y40" s="13"/>
    </row>
    <row r="41" spans="1:36" ht="16.8">
      <c r="A41" s="80">
        <v>38</v>
      </c>
      <c r="B41" t="s">
        <v>343</v>
      </c>
      <c r="C41" s="62">
        <v>46070.711111111108</v>
      </c>
      <c r="D41" t="s">
        <v>316</v>
      </c>
      <c r="E41" t="s">
        <v>336</v>
      </c>
      <c r="F41" t="s">
        <v>345</v>
      </c>
      <c r="G41" s="67" t="s">
        <v>429</v>
      </c>
      <c r="H41" t="s">
        <v>357</v>
      </c>
      <c r="I41" t="s">
        <v>14</v>
      </c>
      <c r="J41" t="s">
        <v>319</v>
      </c>
      <c r="K41">
        <v>8.65</v>
      </c>
      <c r="L41">
        <v>50</v>
      </c>
      <c r="M41">
        <v>-36498.199999999997</v>
      </c>
      <c r="P41">
        <v>-1</v>
      </c>
      <c r="Q41">
        <v>0.84389000000000003</v>
      </c>
      <c r="R41" s="61">
        <f t="shared" si="0"/>
        <v>-30800.465998</v>
      </c>
      <c r="S41">
        <f t="shared" si="1"/>
        <v>30800.465998</v>
      </c>
      <c r="T41" s="5">
        <f t="shared" si="2"/>
        <v>3.0800465998000001E-2</v>
      </c>
      <c r="Y41" s="55" t="s">
        <v>438</v>
      </c>
    </row>
    <row r="42" spans="1:36" ht="16.8">
      <c r="A42" s="80">
        <v>39</v>
      </c>
      <c r="B42" t="s">
        <v>343</v>
      </c>
      <c r="C42" s="73">
        <v>46070.714583333334</v>
      </c>
      <c r="D42" t="s">
        <v>316</v>
      </c>
      <c r="E42" t="s">
        <v>336</v>
      </c>
      <c r="F42" t="s">
        <v>345</v>
      </c>
      <c r="G42" s="67" t="s">
        <v>387</v>
      </c>
      <c r="H42" t="s">
        <v>357</v>
      </c>
      <c r="I42" t="s">
        <v>14</v>
      </c>
      <c r="J42" t="s">
        <v>319</v>
      </c>
      <c r="K42">
        <v>4.8</v>
      </c>
      <c r="L42">
        <v>50</v>
      </c>
      <c r="M42">
        <v>-20253.34</v>
      </c>
      <c r="P42">
        <v>-1</v>
      </c>
      <c r="Q42">
        <v>0.84389000000000003</v>
      </c>
      <c r="R42" s="61">
        <f t="shared" si="0"/>
        <v>-17091.5910926</v>
      </c>
      <c r="S42">
        <f t="shared" si="1"/>
        <v>17091.5910926</v>
      </c>
      <c r="T42" s="5">
        <f t="shared" si="2"/>
        <v>1.70915910926E-2</v>
      </c>
      <c r="Y42" s="55" t="s">
        <v>439</v>
      </c>
    </row>
    <row r="43" spans="1:36">
      <c r="A43" s="80">
        <v>40</v>
      </c>
      <c r="B43" t="s">
        <v>343</v>
      </c>
      <c r="C43" s="73">
        <v>46072.010416666664</v>
      </c>
      <c r="D43" t="s">
        <v>316</v>
      </c>
      <c r="E43" t="s">
        <v>321</v>
      </c>
      <c r="F43" t="s">
        <v>345</v>
      </c>
      <c r="G43" s="67" t="s">
        <v>387</v>
      </c>
      <c r="H43" t="s">
        <v>347</v>
      </c>
      <c r="I43" t="s">
        <v>14</v>
      </c>
      <c r="J43" t="s">
        <v>320</v>
      </c>
      <c r="K43">
        <v>0</v>
      </c>
      <c r="L43">
        <v>-50</v>
      </c>
      <c r="M43">
        <v>0</v>
      </c>
      <c r="P43">
        <v>-1</v>
      </c>
      <c r="Q43">
        <v>0.84821000000000002</v>
      </c>
      <c r="R43" s="61">
        <f t="shared" si="0"/>
        <v>0</v>
      </c>
      <c r="S43">
        <f t="shared" si="1"/>
        <v>0</v>
      </c>
      <c r="T43" s="5">
        <f t="shared" si="2"/>
        <v>0</v>
      </c>
      <c r="Y43" t="s">
        <v>440</v>
      </c>
    </row>
    <row r="44" spans="1:36">
      <c r="A44" s="80">
        <v>41</v>
      </c>
      <c r="B44" t="s">
        <v>343</v>
      </c>
      <c r="C44" s="73">
        <v>46072.010416666664</v>
      </c>
      <c r="D44" t="s">
        <v>316</v>
      </c>
      <c r="E44" t="s">
        <v>321</v>
      </c>
      <c r="F44" t="s">
        <v>345</v>
      </c>
      <c r="G44" s="67" t="s">
        <v>429</v>
      </c>
      <c r="H44" t="s">
        <v>347</v>
      </c>
      <c r="I44" t="s">
        <v>14</v>
      </c>
      <c r="J44" t="s">
        <v>320</v>
      </c>
      <c r="K44">
        <v>0</v>
      </c>
      <c r="L44">
        <v>-50</v>
      </c>
      <c r="M44">
        <v>0</v>
      </c>
      <c r="P44">
        <v>-1</v>
      </c>
      <c r="Q44">
        <v>0.84821000000000002</v>
      </c>
      <c r="R44" s="61">
        <f t="shared" si="0"/>
        <v>0</v>
      </c>
      <c r="S44">
        <f t="shared" si="1"/>
        <v>0</v>
      </c>
      <c r="T44" s="5">
        <f t="shared" si="2"/>
        <v>0</v>
      </c>
      <c r="Y44" t="s">
        <v>440</v>
      </c>
    </row>
    <row r="45" spans="1:36" ht="16.8">
      <c r="A45" s="80">
        <v>42</v>
      </c>
      <c r="B45" t="s">
        <v>343</v>
      </c>
      <c r="C45" s="73">
        <v>46073.805555555555</v>
      </c>
      <c r="D45" t="s">
        <v>316</v>
      </c>
      <c r="E45" t="s">
        <v>336</v>
      </c>
      <c r="F45" t="s">
        <v>345</v>
      </c>
      <c r="G45" s="67" t="s">
        <v>387</v>
      </c>
      <c r="H45" t="s">
        <v>357</v>
      </c>
      <c r="I45" t="s">
        <v>14</v>
      </c>
      <c r="J45" t="s">
        <v>320</v>
      </c>
      <c r="K45">
        <v>1.72</v>
      </c>
      <c r="L45">
        <v>-50</v>
      </c>
      <c r="M45">
        <v>7303.86</v>
      </c>
      <c r="P45">
        <v>-1</v>
      </c>
      <c r="Q45">
        <v>0.84928999999999999</v>
      </c>
      <c r="R45" s="61">
        <f t="shared" si="0"/>
        <v>6203.0952594</v>
      </c>
      <c r="S45">
        <f t="shared" si="1"/>
        <v>6203.0952594</v>
      </c>
      <c r="T45" s="5">
        <f t="shared" si="2"/>
        <v>6.2030952594000002E-3</v>
      </c>
      <c r="Y45" s="55" t="s">
        <v>441</v>
      </c>
    </row>
    <row r="46" spans="1:36" ht="16.8">
      <c r="A46" s="80">
        <v>43</v>
      </c>
      <c r="B46" t="s">
        <v>343</v>
      </c>
      <c r="C46" s="73">
        <v>46073.806250000001</v>
      </c>
      <c r="D46" t="s">
        <v>316</v>
      </c>
      <c r="E46" t="s">
        <v>336</v>
      </c>
      <c r="F46" t="s">
        <v>345</v>
      </c>
      <c r="G46" s="67" t="s">
        <v>429</v>
      </c>
      <c r="H46" t="s">
        <v>357</v>
      </c>
      <c r="I46" t="s">
        <v>14</v>
      </c>
      <c r="J46" t="s">
        <v>320</v>
      </c>
      <c r="K46">
        <v>0.04</v>
      </c>
      <c r="L46">
        <v>-50</v>
      </c>
      <c r="M46">
        <v>169.86</v>
      </c>
      <c r="P46">
        <v>-1</v>
      </c>
      <c r="Q46">
        <v>0.84928999999999999</v>
      </c>
      <c r="R46" s="61">
        <f t="shared" si="0"/>
        <v>144.26039940000001</v>
      </c>
      <c r="S46">
        <f t="shared" si="1"/>
        <v>144.26039940000001</v>
      </c>
      <c r="T46" s="5">
        <f t="shared" si="2"/>
        <v>1.442603994E-4</v>
      </c>
      <c r="Y46" s="55" t="s">
        <v>441</v>
      </c>
    </row>
    <row r="47" spans="1:36">
      <c r="A47" s="80">
        <v>44</v>
      </c>
      <c r="B47" t="s">
        <v>359</v>
      </c>
      <c r="C47" s="73">
        <v>46080.722916666666</v>
      </c>
      <c r="D47" t="s">
        <v>316</v>
      </c>
      <c r="E47" t="s">
        <v>336</v>
      </c>
      <c r="F47" t="s">
        <v>69</v>
      </c>
      <c r="G47" s="67" t="s">
        <v>432</v>
      </c>
      <c r="H47" t="s">
        <v>433</v>
      </c>
      <c r="J47" t="s">
        <v>320</v>
      </c>
      <c r="K47">
        <v>93.34</v>
      </c>
      <c r="L47">
        <v>-400</v>
      </c>
      <c r="M47">
        <v>31644.7</v>
      </c>
      <c r="O47" t="s">
        <v>362</v>
      </c>
      <c r="P47">
        <v>-1</v>
      </c>
      <c r="Q47">
        <v>0.84757000000000005</v>
      </c>
      <c r="R47" s="61">
        <f t="shared" si="0"/>
        <v>26821.098379000003</v>
      </c>
      <c r="S47">
        <f t="shared" si="1"/>
        <v>26821.098379000003</v>
      </c>
      <c r="T47" s="5">
        <f t="shared" si="2"/>
        <v>2.6821098379000003E-2</v>
      </c>
      <c r="Y47" t="s">
        <v>442</v>
      </c>
    </row>
    <row r="48" spans="1:36">
      <c r="C48" s="73">
        <v>46083.011111111111</v>
      </c>
      <c r="D48" t="s">
        <v>427</v>
      </c>
      <c r="E48" t="s">
        <v>321</v>
      </c>
      <c r="F48" t="s">
        <v>376</v>
      </c>
      <c r="G48" s="67" t="s">
        <v>412</v>
      </c>
      <c r="H48" t="s">
        <v>378</v>
      </c>
      <c r="J48" t="s">
        <v>319</v>
      </c>
      <c r="K48">
        <v>290.84032999999999</v>
      </c>
      <c r="L48">
        <v>1</v>
      </c>
      <c r="M48">
        <v>290.83999999999997</v>
      </c>
      <c r="O48" t="s">
        <v>1006</v>
      </c>
      <c r="P48">
        <v>-1</v>
      </c>
      <c r="Q48">
        <v>0.86065000000000003</v>
      </c>
      <c r="R48" s="61">
        <f t="shared" si="0"/>
        <v>250.31144599999999</v>
      </c>
      <c r="S48">
        <f t="shared" si="1"/>
        <v>250.31144599999999</v>
      </c>
      <c r="T48" s="5">
        <f t="shared" si="2"/>
        <v>2.5031144599999998E-4</v>
      </c>
    </row>
    <row r="49" spans="1:35">
      <c r="C49" s="73">
        <v>46083.011805555558</v>
      </c>
      <c r="D49" t="s">
        <v>427</v>
      </c>
      <c r="E49" t="s">
        <v>321</v>
      </c>
      <c r="F49" t="s">
        <v>376</v>
      </c>
      <c r="G49" s="67" t="s">
        <v>396</v>
      </c>
      <c r="H49" t="s">
        <v>378</v>
      </c>
      <c r="J49" t="s">
        <v>319</v>
      </c>
      <c r="K49">
        <v>232.5</v>
      </c>
      <c r="L49">
        <v>1</v>
      </c>
      <c r="M49">
        <v>232.5</v>
      </c>
      <c r="O49" t="s">
        <v>1006</v>
      </c>
      <c r="P49">
        <v>-1</v>
      </c>
      <c r="Q49">
        <v>1</v>
      </c>
      <c r="R49" s="61">
        <f t="shared" si="0"/>
        <v>232.5</v>
      </c>
      <c r="S49">
        <f t="shared" si="1"/>
        <v>232.5</v>
      </c>
      <c r="T49" s="5">
        <f t="shared" si="2"/>
        <v>2.3250000000000001E-4</v>
      </c>
    </row>
    <row r="50" spans="1:35" s="83" customFormat="1" ht="16.8">
      <c r="A50" s="80">
        <v>45</v>
      </c>
      <c r="B50" s="80" t="s">
        <v>315</v>
      </c>
      <c r="C50" s="73">
        <v>46083.669444444444</v>
      </c>
      <c r="D50" s="80" t="s">
        <v>316</v>
      </c>
      <c r="E50" s="80" t="s">
        <v>336</v>
      </c>
      <c r="F50" s="80" t="s">
        <v>345</v>
      </c>
      <c r="G50" s="67" t="s">
        <v>443</v>
      </c>
      <c r="H50" s="80" t="s">
        <v>347</v>
      </c>
      <c r="I50" s="80" t="s">
        <v>14</v>
      </c>
      <c r="J50" s="80" t="s">
        <v>319</v>
      </c>
      <c r="K50" s="80">
        <v>11.15</v>
      </c>
      <c r="L50" s="80">
        <v>10</v>
      </c>
      <c r="M50" s="80">
        <v>-9467.2000000000007</v>
      </c>
      <c r="N50" s="80"/>
      <c r="O50" s="80" t="s">
        <v>1008</v>
      </c>
      <c r="P50" s="80">
        <v>-1</v>
      </c>
      <c r="Q50" s="100">
        <v>0.84907999999999995</v>
      </c>
      <c r="R50" s="83">
        <f t="shared" ref="R50:R113" si="3">M50*Q50</f>
        <v>-8038.4101760000003</v>
      </c>
      <c r="S50" s="83">
        <f t="shared" si="1"/>
        <v>8038.4101760000003</v>
      </c>
      <c r="T50" s="5">
        <f t="shared" si="2"/>
        <v>8.0384101760000003E-3</v>
      </c>
      <c r="W50" s="113" t="s">
        <v>444</v>
      </c>
      <c r="X50" s="113"/>
      <c r="Y50" s="83" t="s">
        <v>445</v>
      </c>
      <c r="AI50" s="83" t="s">
        <v>445</v>
      </c>
    </row>
    <row r="51" spans="1:35" s="83" customFormat="1" ht="16.8">
      <c r="A51" s="80">
        <v>46</v>
      </c>
      <c r="B51" s="80" t="s">
        <v>315</v>
      </c>
      <c r="C51" s="73">
        <v>46083.669444444444</v>
      </c>
      <c r="D51" s="80" t="s">
        <v>316</v>
      </c>
      <c r="E51" s="80" t="s">
        <v>336</v>
      </c>
      <c r="F51" s="80" t="s">
        <v>345</v>
      </c>
      <c r="G51" s="67" t="s">
        <v>443</v>
      </c>
      <c r="H51" s="80" t="s">
        <v>347</v>
      </c>
      <c r="I51" s="80" t="s">
        <v>446</v>
      </c>
      <c r="J51" s="80" t="s">
        <v>319</v>
      </c>
      <c r="K51" s="80">
        <v>4.1500000000000004</v>
      </c>
      <c r="L51" s="80">
        <v>-10</v>
      </c>
      <c r="M51" s="80">
        <v>3523.67</v>
      </c>
      <c r="N51" s="80"/>
      <c r="O51" s="80" t="s">
        <v>1008</v>
      </c>
      <c r="P51" s="80">
        <v>-1</v>
      </c>
      <c r="Q51" s="100">
        <v>0.84907999999999995</v>
      </c>
      <c r="R51" s="83">
        <f t="shared" si="3"/>
        <v>2991.8777236000001</v>
      </c>
      <c r="S51" s="83">
        <f t="shared" si="1"/>
        <v>2991.8777236000001</v>
      </c>
      <c r="T51" s="5">
        <f t="shared" si="2"/>
        <v>2.9918777236000002E-3</v>
      </c>
      <c r="W51" s="113"/>
      <c r="X51" s="113"/>
      <c r="Y51" s="84" t="s">
        <v>447</v>
      </c>
      <c r="AI51" s="84" t="s">
        <v>447</v>
      </c>
    </row>
    <row r="52" spans="1:35" ht="16.8">
      <c r="A52" s="80">
        <v>47</v>
      </c>
      <c r="B52" s="80" t="s">
        <v>315</v>
      </c>
      <c r="C52" s="101">
        <v>46083.673611111109</v>
      </c>
      <c r="D52" s="80" t="s">
        <v>316</v>
      </c>
      <c r="E52" s="80" t="s">
        <v>336</v>
      </c>
      <c r="F52" s="80" t="s">
        <v>345</v>
      </c>
      <c r="G52" s="67" t="s">
        <v>443</v>
      </c>
      <c r="H52" s="80" t="s">
        <v>347</v>
      </c>
      <c r="I52" s="80" t="s">
        <v>14</v>
      </c>
      <c r="J52" s="80" t="s">
        <v>319</v>
      </c>
      <c r="K52" s="80">
        <v>12.1</v>
      </c>
      <c r="L52" s="80">
        <v>20</v>
      </c>
      <c r="M52" s="80">
        <v>-20547.650000000001</v>
      </c>
      <c r="N52" s="80"/>
      <c r="O52" s="80" t="s">
        <v>1008</v>
      </c>
      <c r="P52" s="80">
        <v>-1</v>
      </c>
      <c r="Q52" s="100">
        <v>0.84907999999999995</v>
      </c>
      <c r="R52" s="61">
        <f t="shared" si="3"/>
        <v>-17446.598662</v>
      </c>
      <c r="S52">
        <f t="shared" si="1"/>
        <v>17446.598662</v>
      </c>
      <c r="T52" s="5">
        <f t="shared" si="2"/>
        <v>1.7446598662000001E-2</v>
      </c>
      <c r="W52" s="113"/>
      <c r="X52" s="113"/>
      <c r="Y52" s="83" t="s">
        <v>445</v>
      </c>
      <c r="AI52" s="83" t="s">
        <v>445</v>
      </c>
    </row>
    <row r="53" spans="1:35" ht="16.8">
      <c r="A53" s="80">
        <v>48</v>
      </c>
      <c r="B53" s="80" t="s">
        <v>315</v>
      </c>
      <c r="C53" s="101">
        <v>46083.673611111109</v>
      </c>
      <c r="D53" s="80" t="s">
        <v>316</v>
      </c>
      <c r="E53" s="80" t="s">
        <v>336</v>
      </c>
      <c r="F53" s="80" t="s">
        <v>345</v>
      </c>
      <c r="G53" s="67" t="s">
        <v>443</v>
      </c>
      <c r="H53" s="80" t="s">
        <v>347</v>
      </c>
      <c r="I53" s="80" t="s">
        <v>446</v>
      </c>
      <c r="J53" s="80" t="s">
        <v>319</v>
      </c>
      <c r="K53" s="80">
        <v>4.55</v>
      </c>
      <c r="L53" s="80">
        <v>-20</v>
      </c>
      <c r="M53" s="80">
        <v>7726.6</v>
      </c>
      <c r="N53" s="80"/>
      <c r="O53" s="80" t="s">
        <v>1008</v>
      </c>
      <c r="P53" s="80">
        <v>-1</v>
      </c>
      <c r="Q53" s="100">
        <v>0.84907999999999995</v>
      </c>
      <c r="R53" s="61">
        <f t="shared" si="3"/>
        <v>6560.5015279999998</v>
      </c>
      <c r="S53">
        <f t="shared" si="1"/>
        <v>6560.5015279999998</v>
      </c>
      <c r="T53" s="5">
        <f t="shared" si="2"/>
        <v>6.5605015279999995E-3</v>
      </c>
      <c r="W53" s="113"/>
      <c r="X53" s="113"/>
      <c r="Y53" s="84" t="s">
        <v>447</v>
      </c>
      <c r="AI53" s="84" t="s">
        <v>447</v>
      </c>
    </row>
    <row r="54" spans="1:35" ht="16.8">
      <c r="A54" s="80">
        <v>49</v>
      </c>
      <c r="B54" s="80" t="s">
        <v>315</v>
      </c>
      <c r="C54" s="101">
        <v>46083.686805555553</v>
      </c>
      <c r="D54" s="80" t="s">
        <v>316</v>
      </c>
      <c r="E54" s="80" t="s">
        <v>336</v>
      </c>
      <c r="F54" s="80" t="s">
        <v>345</v>
      </c>
      <c r="G54" s="67" t="s">
        <v>443</v>
      </c>
      <c r="H54" s="80" t="s">
        <v>347</v>
      </c>
      <c r="I54" s="80" t="s">
        <v>14</v>
      </c>
      <c r="J54" s="80" t="s">
        <v>319</v>
      </c>
      <c r="K54" s="80">
        <v>15.15</v>
      </c>
      <c r="L54" s="80">
        <v>25</v>
      </c>
      <c r="M54" s="80">
        <v>-32158.78</v>
      </c>
      <c r="N54" s="80"/>
      <c r="O54" s="80" t="s">
        <v>1008</v>
      </c>
      <c r="P54" s="80">
        <v>-1</v>
      </c>
      <c r="Q54" s="100">
        <v>0.84907999999999995</v>
      </c>
      <c r="R54" s="61">
        <f t="shared" si="3"/>
        <v>-27305.376922399999</v>
      </c>
      <c r="S54">
        <f t="shared" si="1"/>
        <v>27305.376922399999</v>
      </c>
      <c r="T54" s="5">
        <f t="shared" si="2"/>
        <v>2.7305376922399999E-2</v>
      </c>
      <c r="W54" s="113"/>
      <c r="X54" s="113"/>
      <c r="Y54" s="83" t="s">
        <v>445</v>
      </c>
      <c r="AI54" s="83" t="s">
        <v>445</v>
      </c>
    </row>
    <row r="55" spans="1:35" ht="16.8">
      <c r="A55" s="80">
        <v>50</v>
      </c>
      <c r="B55" s="80" t="s">
        <v>315</v>
      </c>
      <c r="C55" s="101">
        <v>46083.686805555553</v>
      </c>
      <c r="D55" s="80" t="s">
        <v>316</v>
      </c>
      <c r="E55" s="80" t="s">
        <v>336</v>
      </c>
      <c r="F55" s="80" t="s">
        <v>345</v>
      </c>
      <c r="G55" s="67" t="s">
        <v>443</v>
      </c>
      <c r="H55" s="80" t="s">
        <v>347</v>
      </c>
      <c r="I55" s="80" t="s">
        <v>446</v>
      </c>
      <c r="J55" s="80" t="s">
        <v>319</v>
      </c>
      <c r="K55" s="80">
        <v>7.75</v>
      </c>
      <c r="L55" s="80">
        <v>-25</v>
      </c>
      <c r="M55" s="80">
        <v>16450.86</v>
      </c>
      <c r="N55" s="80"/>
      <c r="O55" s="80" t="s">
        <v>1008</v>
      </c>
      <c r="P55" s="80">
        <v>-1</v>
      </c>
      <c r="Q55" s="100">
        <v>0.84907999999999995</v>
      </c>
      <c r="R55" s="61">
        <f t="shared" si="3"/>
        <v>13968.0962088</v>
      </c>
      <c r="S55">
        <f t="shared" si="1"/>
        <v>13968.0962088</v>
      </c>
      <c r="T55" s="5">
        <f t="shared" si="2"/>
        <v>1.3968096208799999E-2</v>
      </c>
      <c r="W55" s="113"/>
      <c r="X55" s="113"/>
      <c r="Y55" s="84" t="s">
        <v>447</v>
      </c>
      <c r="AI55" s="84" t="s">
        <v>447</v>
      </c>
    </row>
    <row r="56" spans="1:35" ht="16.8">
      <c r="A56" s="80">
        <v>51</v>
      </c>
      <c r="B56" s="80" t="s">
        <v>315</v>
      </c>
      <c r="C56" s="124">
        <v>46084.759722222225</v>
      </c>
      <c r="D56" s="80" t="s">
        <v>316</v>
      </c>
      <c r="E56" s="80" t="s">
        <v>336</v>
      </c>
      <c r="F56" s="80" t="s">
        <v>69</v>
      </c>
      <c r="G56" s="125" t="s">
        <v>448</v>
      </c>
      <c r="H56" s="80" t="s">
        <v>433</v>
      </c>
      <c r="I56" s="80"/>
      <c r="J56" s="80" t="s">
        <v>319</v>
      </c>
      <c r="K56" s="80">
        <v>48.55</v>
      </c>
      <c r="L56" s="80">
        <v>650</v>
      </c>
      <c r="M56" s="80">
        <v>-26984.22</v>
      </c>
      <c r="N56" s="80"/>
      <c r="O56" s="80" t="s">
        <v>1009</v>
      </c>
      <c r="P56" s="80">
        <v>-1</v>
      </c>
      <c r="Q56" s="100">
        <v>0.85507999999999995</v>
      </c>
      <c r="R56" s="61">
        <f t="shared" si="3"/>
        <v>-23073.666837599998</v>
      </c>
      <c r="S56">
        <f t="shared" si="1"/>
        <v>23073.666837599998</v>
      </c>
      <c r="T56" s="5">
        <f t="shared" si="2"/>
        <v>2.3073666837599999E-2</v>
      </c>
      <c r="X56" s="114" t="s">
        <v>449</v>
      </c>
      <c r="AI56" s="83" t="s">
        <v>1011</v>
      </c>
    </row>
    <row r="57" spans="1:35" ht="16.8">
      <c r="A57" s="80">
        <v>52</v>
      </c>
      <c r="B57" s="80" t="s">
        <v>315</v>
      </c>
      <c r="C57" s="124">
        <v>46084.760416666664</v>
      </c>
      <c r="D57" s="80" t="s">
        <v>316</v>
      </c>
      <c r="E57" s="80" t="s">
        <v>336</v>
      </c>
      <c r="F57" s="80" t="s">
        <v>69</v>
      </c>
      <c r="G57" s="125" t="s">
        <v>450</v>
      </c>
      <c r="H57" s="80" t="s">
        <v>433</v>
      </c>
      <c r="I57" s="80"/>
      <c r="J57" s="80" t="s">
        <v>319</v>
      </c>
      <c r="K57" s="80">
        <v>21.63</v>
      </c>
      <c r="L57" s="80">
        <v>958</v>
      </c>
      <c r="M57" s="80">
        <v>-17718.59</v>
      </c>
      <c r="N57" s="80"/>
      <c r="O57" s="80" t="s">
        <v>1009</v>
      </c>
      <c r="P57" s="80">
        <v>-1</v>
      </c>
      <c r="Q57" s="100">
        <v>0.85507999999999995</v>
      </c>
      <c r="R57" s="61">
        <f t="shared" si="3"/>
        <v>-15150.8119372</v>
      </c>
      <c r="S57">
        <f t="shared" si="1"/>
        <v>15150.8119372</v>
      </c>
      <c r="T57" s="5">
        <f t="shared" si="2"/>
        <v>1.51508119372E-2</v>
      </c>
      <c r="X57" s="114"/>
      <c r="AI57" s="83" t="s">
        <v>1011</v>
      </c>
    </row>
    <row r="58" spans="1:35" ht="16.8">
      <c r="A58" s="80">
        <v>53</v>
      </c>
      <c r="B58" t="s">
        <v>315</v>
      </c>
      <c r="C58" s="62">
        <v>46084.761111111111</v>
      </c>
      <c r="D58" t="s">
        <v>316</v>
      </c>
      <c r="E58" t="s">
        <v>336</v>
      </c>
      <c r="F58" t="s">
        <v>69</v>
      </c>
      <c r="G58" s="126" t="s">
        <v>451</v>
      </c>
      <c r="H58" t="s">
        <v>433</v>
      </c>
      <c r="J58" t="s">
        <v>319</v>
      </c>
      <c r="K58">
        <v>24.1</v>
      </c>
      <c r="L58">
        <v>815</v>
      </c>
      <c r="M58">
        <v>-16795.07</v>
      </c>
      <c r="O58" t="s">
        <v>1009</v>
      </c>
      <c r="P58">
        <v>-1</v>
      </c>
      <c r="Q58" s="55">
        <v>0.85507999999999995</v>
      </c>
      <c r="R58" s="61">
        <f t="shared" si="3"/>
        <v>-14361.128455599999</v>
      </c>
      <c r="S58">
        <f t="shared" si="1"/>
        <v>14361.128455599999</v>
      </c>
      <c r="T58" s="5">
        <f t="shared" si="2"/>
        <v>1.4361128455599999E-2</v>
      </c>
      <c r="X58" s="114"/>
      <c r="AI58" s="83" t="s">
        <v>1011</v>
      </c>
    </row>
    <row r="59" spans="1:35" ht="16.8">
      <c r="A59" s="80">
        <v>54</v>
      </c>
      <c r="B59" t="s">
        <v>315</v>
      </c>
      <c r="C59" s="62">
        <v>46084.761111111111</v>
      </c>
      <c r="D59" t="s">
        <v>316</v>
      </c>
      <c r="E59" t="s">
        <v>336</v>
      </c>
      <c r="F59" t="s">
        <v>69</v>
      </c>
      <c r="G59" s="126" t="s">
        <v>452</v>
      </c>
      <c r="H59" t="s">
        <v>433</v>
      </c>
      <c r="J59" t="s">
        <v>319</v>
      </c>
      <c r="K59">
        <v>82.75</v>
      </c>
      <c r="L59">
        <v>160</v>
      </c>
      <c r="M59">
        <v>-11321.27</v>
      </c>
      <c r="O59" t="s">
        <v>1009</v>
      </c>
      <c r="P59">
        <v>-1</v>
      </c>
      <c r="Q59" s="55">
        <v>0.85507999999999995</v>
      </c>
      <c r="R59" s="61">
        <f t="shared" si="3"/>
        <v>-9680.5915516000005</v>
      </c>
      <c r="S59">
        <f t="shared" si="1"/>
        <v>9680.5915516000005</v>
      </c>
      <c r="T59" s="5">
        <f t="shared" si="2"/>
        <v>9.6805915516000006E-3</v>
      </c>
      <c r="X59" s="114"/>
      <c r="AI59" s="83" t="s">
        <v>1011</v>
      </c>
    </row>
    <row r="60" spans="1:35" ht="16.8">
      <c r="A60" s="80">
        <v>55</v>
      </c>
      <c r="B60" t="s">
        <v>315</v>
      </c>
      <c r="C60" s="62">
        <v>46084.761805555558</v>
      </c>
      <c r="D60" t="s">
        <v>316</v>
      </c>
      <c r="E60" t="s">
        <v>336</v>
      </c>
      <c r="F60" t="s">
        <v>69</v>
      </c>
      <c r="G60" s="126" t="s">
        <v>453</v>
      </c>
      <c r="H60" t="s">
        <v>433</v>
      </c>
      <c r="J60" t="s">
        <v>319</v>
      </c>
      <c r="K60">
        <v>131.44999999999999</v>
      </c>
      <c r="L60">
        <v>99</v>
      </c>
      <c r="M60">
        <v>-11127.64</v>
      </c>
      <c r="O60" t="s">
        <v>1009</v>
      </c>
      <c r="P60">
        <v>-1</v>
      </c>
      <c r="Q60" s="55">
        <v>0.85507999999999995</v>
      </c>
      <c r="R60" s="61">
        <f t="shared" si="3"/>
        <v>-9515.0224111999996</v>
      </c>
      <c r="S60">
        <f t="shared" si="1"/>
        <v>9515.0224111999996</v>
      </c>
      <c r="T60" s="5">
        <f t="shared" si="2"/>
        <v>9.5150224111999991E-3</v>
      </c>
      <c r="X60" s="114"/>
      <c r="AI60" s="83" t="s">
        <v>1011</v>
      </c>
    </row>
    <row r="61" spans="1:35" ht="16.8">
      <c r="A61" s="80">
        <v>56</v>
      </c>
      <c r="B61" t="s">
        <v>315</v>
      </c>
      <c r="C61" s="62">
        <v>46084.762499999997</v>
      </c>
      <c r="D61" t="s">
        <v>316</v>
      </c>
      <c r="E61" t="s">
        <v>336</v>
      </c>
      <c r="F61" t="s">
        <v>69</v>
      </c>
      <c r="G61" s="126" t="s">
        <v>454</v>
      </c>
      <c r="H61" t="s">
        <v>433</v>
      </c>
      <c r="J61" t="s">
        <v>319</v>
      </c>
      <c r="K61">
        <v>51.25</v>
      </c>
      <c r="L61">
        <v>188</v>
      </c>
      <c r="M61" s="54">
        <v>-8238.7000000000007</v>
      </c>
      <c r="O61" t="s">
        <v>1009</v>
      </c>
      <c r="P61">
        <v>-1</v>
      </c>
      <c r="Q61" s="55">
        <v>0.85507999999999995</v>
      </c>
      <c r="R61" s="61">
        <f t="shared" si="3"/>
        <v>-7044.7475960000002</v>
      </c>
      <c r="S61">
        <f t="shared" si="1"/>
        <v>7044.7475960000002</v>
      </c>
      <c r="T61" s="5">
        <f t="shared" si="2"/>
        <v>7.0447475959999999E-3</v>
      </c>
      <c r="X61" s="114"/>
      <c r="AI61" s="83" t="s">
        <v>1011</v>
      </c>
    </row>
    <row r="62" spans="1:35" ht="16.8">
      <c r="A62" s="80">
        <v>57</v>
      </c>
      <c r="B62" t="s">
        <v>315</v>
      </c>
      <c r="C62" s="62">
        <v>46084.763888888891</v>
      </c>
      <c r="D62" t="s">
        <v>316</v>
      </c>
      <c r="E62" t="s">
        <v>336</v>
      </c>
      <c r="F62" t="s">
        <v>69</v>
      </c>
      <c r="G62" s="126" t="s">
        <v>455</v>
      </c>
      <c r="H62" t="s">
        <v>433</v>
      </c>
      <c r="J62" t="s">
        <v>319</v>
      </c>
      <c r="K62">
        <v>183.66</v>
      </c>
      <c r="L62">
        <v>50</v>
      </c>
      <c r="M62" s="54">
        <v>-7852.21</v>
      </c>
      <c r="O62" t="s">
        <v>1009</v>
      </c>
      <c r="P62">
        <v>-1</v>
      </c>
      <c r="Q62" s="55">
        <v>0.85507999999999995</v>
      </c>
      <c r="R62" s="61">
        <f t="shared" si="3"/>
        <v>-6714.2677267999998</v>
      </c>
      <c r="S62">
        <f t="shared" si="1"/>
        <v>6714.2677267999998</v>
      </c>
      <c r="T62" s="5">
        <f t="shared" si="2"/>
        <v>6.7142677267999998E-3</v>
      </c>
      <c r="X62" s="114"/>
      <c r="AI62" s="83" t="s">
        <v>1011</v>
      </c>
    </row>
    <row r="63" spans="1:35" ht="33.6">
      <c r="A63" s="80">
        <v>58</v>
      </c>
      <c r="B63" t="s">
        <v>315</v>
      </c>
      <c r="C63" s="62">
        <v>46084.76458333333</v>
      </c>
      <c r="D63" t="s">
        <v>316</v>
      </c>
      <c r="E63" t="s">
        <v>336</v>
      </c>
      <c r="F63" t="s">
        <v>69</v>
      </c>
      <c r="G63" s="127" t="s">
        <v>456</v>
      </c>
      <c r="H63" t="s">
        <v>433</v>
      </c>
      <c r="J63" t="s">
        <v>319</v>
      </c>
      <c r="K63">
        <v>25.39</v>
      </c>
      <c r="L63">
        <v>336</v>
      </c>
      <c r="M63">
        <v>-7294.73</v>
      </c>
      <c r="O63" t="s">
        <v>1009</v>
      </c>
      <c r="P63">
        <v>-1</v>
      </c>
      <c r="Q63" s="55">
        <v>0.85507999999999995</v>
      </c>
      <c r="R63" s="61">
        <f t="shared" si="3"/>
        <v>-6237.5777283999996</v>
      </c>
      <c r="S63">
        <f t="shared" si="1"/>
        <v>6237.5777283999996</v>
      </c>
      <c r="T63" s="5">
        <f t="shared" si="2"/>
        <v>6.2375777283999994E-3</v>
      </c>
      <c r="X63" s="114"/>
      <c r="AI63" s="83" t="s">
        <v>1011</v>
      </c>
    </row>
    <row r="64" spans="1:35" ht="16.8">
      <c r="A64" s="80">
        <v>59</v>
      </c>
      <c r="B64" t="s">
        <v>315</v>
      </c>
      <c r="C64" s="62">
        <v>46084.76458333333</v>
      </c>
      <c r="D64" t="s">
        <v>316</v>
      </c>
      <c r="E64" t="s">
        <v>336</v>
      </c>
      <c r="F64" t="s">
        <v>69</v>
      </c>
      <c r="G64" s="126" t="s">
        <v>457</v>
      </c>
      <c r="H64" t="s">
        <v>433</v>
      </c>
      <c r="J64" t="s">
        <v>319</v>
      </c>
      <c r="K64">
        <v>63.68</v>
      </c>
      <c r="L64">
        <v>132</v>
      </c>
      <c r="M64">
        <v>-7187.6</v>
      </c>
      <c r="O64" t="s">
        <v>1009</v>
      </c>
      <c r="P64">
        <v>-1</v>
      </c>
      <c r="Q64" s="55">
        <v>0.85507999999999995</v>
      </c>
      <c r="R64" s="61">
        <f t="shared" si="3"/>
        <v>-6145.9730079999999</v>
      </c>
      <c r="S64">
        <f t="shared" si="1"/>
        <v>6145.9730079999999</v>
      </c>
      <c r="T64" s="5">
        <f t="shared" si="2"/>
        <v>6.1459730079999999E-3</v>
      </c>
      <c r="X64" s="114"/>
      <c r="AI64" s="83" t="s">
        <v>1011</v>
      </c>
    </row>
    <row r="65" spans="1:35" ht="16.8">
      <c r="A65" s="80">
        <v>60</v>
      </c>
      <c r="B65" t="s">
        <v>315</v>
      </c>
      <c r="C65" s="62">
        <v>46084.765277777777</v>
      </c>
      <c r="D65" t="s">
        <v>316</v>
      </c>
      <c r="E65" t="s">
        <v>336</v>
      </c>
      <c r="F65" t="s">
        <v>69</v>
      </c>
      <c r="G65" s="126" t="s">
        <v>458</v>
      </c>
      <c r="H65" t="s">
        <v>433</v>
      </c>
      <c r="J65" t="s">
        <v>319</v>
      </c>
      <c r="K65">
        <v>49.67</v>
      </c>
      <c r="L65">
        <v>168</v>
      </c>
      <c r="M65">
        <v>-7135.27</v>
      </c>
      <c r="O65" t="s">
        <v>1009</v>
      </c>
      <c r="P65">
        <v>-1</v>
      </c>
      <c r="Q65" s="55">
        <v>0.85507999999999995</v>
      </c>
      <c r="R65" s="61">
        <f t="shared" si="3"/>
        <v>-6101.2266716000004</v>
      </c>
      <c r="S65">
        <f t="shared" si="1"/>
        <v>6101.2266716000004</v>
      </c>
      <c r="T65" s="5">
        <f t="shared" si="2"/>
        <v>6.1012266716E-3</v>
      </c>
      <c r="X65" s="114"/>
      <c r="AI65" s="83" t="s">
        <v>1011</v>
      </c>
    </row>
    <row r="66" spans="1:35" ht="16.8">
      <c r="A66" s="80">
        <v>61</v>
      </c>
      <c r="B66" t="s">
        <v>315</v>
      </c>
      <c r="C66" s="62">
        <v>46084.765972222223</v>
      </c>
      <c r="D66" t="s">
        <v>316</v>
      </c>
      <c r="E66" t="s">
        <v>336</v>
      </c>
      <c r="F66" t="s">
        <v>69</v>
      </c>
      <c r="G66" s="126" t="s">
        <v>459</v>
      </c>
      <c r="H66" t="s">
        <v>433</v>
      </c>
      <c r="J66" t="s">
        <v>319</v>
      </c>
      <c r="K66">
        <v>57.85</v>
      </c>
      <c r="L66">
        <v>133</v>
      </c>
      <c r="M66">
        <v>-6579.04</v>
      </c>
      <c r="O66" t="s">
        <v>1009</v>
      </c>
      <c r="P66">
        <v>-1</v>
      </c>
      <c r="Q66" s="55">
        <v>0.85507999999999995</v>
      </c>
      <c r="R66" s="61">
        <f t="shared" si="3"/>
        <v>-5625.6055231999999</v>
      </c>
      <c r="S66">
        <f t="shared" si="1"/>
        <v>5625.6055231999999</v>
      </c>
      <c r="T66" s="5">
        <f t="shared" si="2"/>
        <v>5.6256055231999995E-3</v>
      </c>
      <c r="X66" s="114"/>
      <c r="AI66" s="83" t="s">
        <v>1011</v>
      </c>
    </row>
    <row r="67" spans="1:35" ht="16.8">
      <c r="A67" s="80">
        <v>62</v>
      </c>
      <c r="B67" t="s">
        <v>315</v>
      </c>
      <c r="C67" s="62">
        <v>46084.765972222223</v>
      </c>
      <c r="D67" t="s">
        <v>316</v>
      </c>
      <c r="E67" t="s">
        <v>336</v>
      </c>
      <c r="F67" t="s">
        <v>69</v>
      </c>
      <c r="G67" s="126" t="s">
        <v>460</v>
      </c>
      <c r="H67" t="s">
        <v>433</v>
      </c>
      <c r="J67" t="s">
        <v>319</v>
      </c>
      <c r="K67">
        <v>118.23</v>
      </c>
      <c r="L67">
        <v>63</v>
      </c>
      <c r="M67">
        <v>-6369.06</v>
      </c>
      <c r="O67" t="s">
        <v>1009</v>
      </c>
      <c r="P67">
        <v>-1</v>
      </c>
      <c r="Q67" s="55">
        <v>0.85507999999999995</v>
      </c>
      <c r="R67" s="61">
        <f t="shared" si="3"/>
        <v>-5446.0558247999998</v>
      </c>
      <c r="S67">
        <f t="shared" si="1"/>
        <v>5446.0558247999998</v>
      </c>
      <c r="T67" s="5">
        <f t="shared" si="2"/>
        <v>5.4460558248E-3</v>
      </c>
      <c r="X67" s="114"/>
      <c r="AI67" s="83" t="s">
        <v>1011</v>
      </c>
    </row>
    <row r="68" spans="1:35" ht="16.8">
      <c r="A68" s="80">
        <v>63</v>
      </c>
      <c r="B68" t="s">
        <v>315</v>
      </c>
      <c r="C68" s="62">
        <v>46084.76666666667</v>
      </c>
      <c r="D68" t="s">
        <v>316</v>
      </c>
      <c r="E68" t="s">
        <v>336</v>
      </c>
      <c r="F68" t="s">
        <v>69</v>
      </c>
      <c r="G68" s="126" t="s">
        <v>461</v>
      </c>
      <c r="H68" t="s">
        <v>433</v>
      </c>
      <c r="J68" t="s">
        <v>319</v>
      </c>
      <c r="K68">
        <v>30.84</v>
      </c>
      <c r="L68">
        <v>229</v>
      </c>
      <c r="M68">
        <v>-6038.89</v>
      </c>
      <c r="O68" t="s">
        <v>1009</v>
      </c>
      <c r="P68">
        <v>-1</v>
      </c>
      <c r="Q68" s="55">
        <v>0.85507999999999995</v>
      </c>
      <c r="R68" s="61">
        <f t="shared" si="3"/>
        <v>-5163.7340611999998</v>
      </c>
      <c r="S68">
        <f t="shared" si="1"/>
        <v>5163.7340611999998</v>
      </c>
      <c r="T68" s="5">
        <f t="shared" si="2"/>
        <v>5.1637340611999996E-3</v>
      </c>
      <c r="X68" s="114"/>
      <c r="AI68" s="83" t="s">
        <v>1011</v>
      </c>
    </row>
    <row r="69" spans="1:35" ht="16.8">
      <c r="A69" s="80">
        <v>64</v>
      </c>
      <c r="B69" t="s">
        <v>315</v>
      </c>
      <c r="C69" s="62">
        <v>46084.76666666667</v>
      </c>
      <c r="D69" t="s">
        <v>316</v>
      </c>
      <c r="E69" t="s">
        <v>336</v>
      </c>
      <c r="F69" t="s">
        <v>69</v>
      </c>
      <c r="G69" s="126" t="s">
        <v>462</v>
      </c>
      <c r="H69" t="s">
        <v>433</v>
      </c>
      <c r="J69" t="s">
        <v>319</v>
      </c>
      <c r="K69">
        <v>29.73</v>
      </c>
      <c r="L69">
        <v>228</v>
      </c>
      <c r="M69" s="54">
        <v>-5796.11</v>
      </c>
      <c r="O69" t="s">
        <v>1009</v>
      </c>
      <c r="P69">
        <v>-1</v>
      </c>
      <c r="Q69" s="55">
        <v>0.85507999999999995</v>
      </c>
      <c r="R69" s="61">
        <f t="shared" si="3"/>
        <v>-4956.1377387999992</v>
      </c>
      <c r="S69">
        <f t="shared" ref="S69:S113" si="4">ABS(R69)</f>
        <v>4956.1377387999992</v>
      </c>
      <c r="T69" s="5">
        <f t="shared" si="2"/>
        <v>4.9561377387999988E-3</v>
      </c>
      <c r="X69" s="114"/>
      <c r="AI69" s="83" t="s">
        <v>1011</v>
      </c>
    </row>
    <row r="70" spans="1:35" ht="16.8">
      <c r="A70" s="80">
        <v>65</v>
      </c>
      <c r="B70" t="s">
        <v>315</v>
      </c>
      <c r="C70" s="62">
        <v>46084.770833333336</v>
      </c>
      <c r="D70" t="s">
        <v>316</v>
      </c>
      <c r="E70" t="s">
        <v>336</v>
      </c>
      <c r="F70" t="s">
        <v>69</v>
      </c>
      <c r="G70" s="126" t="s">
        <v>463</v>
      </c>
      <c r="H70" t="s">
        <v>433</v>
      </c>
      <c r="J70" t="s">
        <v>319</v>
      </c>
      <c r="K70">
        <v>122.67</v>
      </c>
      <c r="L70">
        <v>53</v>
      </c>
      <c r="M70" s="54">
        <v>-5559.32</v>
      </c>
      <c r="O70" t="s">
        <v>1009</v>
      </c>
      <c r="P70">
        <v>-1</v>
      </c>
      <c r="Q70" s="55">
        <v>0.85507999999999995</v>
      </c>
      <c r="R70" s="61">
        <f>M70*Q70</f>
        <v>-4753.663345599999</v>
      </c>
      <c r="S70">
        <f t="shared" si="4"/>
        <v>4753.663345599999</v>
      </c>
      <c r="T70" s="5">
        <f t="shared" si="2"/>
        <v>4.7536633455999991E-3</v>
      </c>
      <c r="X70" s="114"/>
      <c r="AI70" s="83" t="s">
        <v>1011</v>
      </c>
    </row>
    <row r="71" spans="1:35" ht="16.8">
      <c r="A71" s="80">
        <v>66</v>
      </c>
      <c r="B71" t="s">
        <v>315</v>
      </c>
      <c r="C71" s="62">
        <v>46084.771527777775</v>
      </c>
      <c r="D71" t="s">
        <v>316</v>
      </c>
      <c r="E71" t="s">
        <v>336</v>
      </c>
      <c r="F71" t="s">
        <v>69</v>
      </c>
      <c r="G71" s="126" t="s">
        <v>464</v>
      </c>
      <c r="H71" t="s">
        <v>433</v>
      </c>
      <c r="J71" t="s">
        <v>319</v>
      </c>
      <c r="K71">
        <v>56.46</v>
      </c>
      <c r="L71">
        <v>106</v>
      </c>
      <c r="M71" s="54">
        <v>-5117.45</v>
      </c>
      <c r="O71" t="s">
        <v>1009</v>
      </c>
      <c r="P71">
        <v>-1</v>
      </c>
      <c r="Q71" s="55">
        <v>0.85507999999999995</v>
      </c>
      <c r="R71" s="61">
        <f>M71*Q71</f>
        <v>-4375.829146</v>
      </c>
      <c r="S71">
        <f t="shared" si="4"/>
        <v>4375.829146</v>
      </c>
      <c r="T71" s="5">
        <f t="shared" si="2"/>
        <v>4.3758291459999998E-3</v>
      </c>
      <c r="X71" s="114"/>
      <c r="AI71" s="83" t="s">
        <v>1011</v>
      </c>
    </row>
    <row r="72" spans="1:35" ht="16.8">
      <c r="A72" s="80">
        <v>67</v>
      </c>
      <c r="B72" t="s">
        <v>315</v>
      </c>
      <c r="C72" s="62">
        <v>46084.771527777775</v>
      </c>
      <c r="D72" t="s">
        <v>316</v>
      </c>
      <c r="E72" t="s">
        <v>336</v>
      </c>
      <c r="F72" t="s">
        <v>69</v>
      </c>
      <c r="G72" s="126" t="s">
        <v>465</v>
      </c>
      <c r="H72" t="s">
        <v>433</v>
      </c>
      <c r="J72" t="s">
        <v>319</v>
      </c>
      <c r="K72">
        <v>38.380000000000003</v>
      </c>
      <c r="L72">
        <v>83</v>
      </c>
      <c r="M72" s="54">
        <v>-2723.89</v>
      </c>
      <c r="O72" t="s">
        <v>1009</v>
      </c>
      <c r="P72">
        <v>-1</v>
      </c>
      <c r="Q72" s="55">
        <v>0.85507999999999995</v>
      </c>
      <c r="R72" s="61">
        <f t="shared" si="3"/>
        <v>-2329.1438611999997</v>
      </c>
      <c r="S72">
        <f t="shared" si="4"/>
        <v>2329.1438611999997</v>
      </c>
      <c r="T72" s="5">
        <f t="shared" ref="T72:T135" si="5">S72/1000000</f>
        <v>2.3291438611999999E-3</v>
      </c>
      <c r="X72" s="114"/>
      <c r="AI72" s="83" t="s">
        <v>1011</v>
      </c>
    </row>
    <row r="73" spans="1:35" ht="16.8">
      <c r="A73" s="80">
        <v>68</v>
      </c>
      <c r="B73" t="s">
        <v>315</v>
      </c>
      <c r="C73" s="62">
        <v>46084.771527777775</v>
      </c>
      <c r="D73" t="s">
        <v>316</v>
      </c>
      <c r="E73" t="s">
        <v>336</v>
      </c>
      <c r="F73" t="s">
        <v>69</v>
      </c>
      <c r="G73" s="126" t="s">
        <v>466</v>
      </c>
      <c r="H73" t="s">
        <v>433</v>
      </c>
      <c r="J73" t="s">
        <v>319</v>
      </c>
      <c r="K73">
        <v>779.16</v>
      </c>
      <c r="L73">
        <v>7</v>
      </c>
      <c r="M73" s="54">
        <v>-4663.71</v>
      </c>
      <c r="O73" t="s">
        <v>1009</v>
      </c>
      <c r="P73">
        <v>-1</v>
      </c>
      <c r="Q73" s="55">
        <v>0.85507999999999995</v>
      </c>
      <c r="R73" s="61">
        <f t="shared" si="3"/>
        <v>-3987.8451467999998</v>
      </c>
      <c r="S73">
        <f t="shared" si="4"/>
        <v>3987.8451467999998</v>
      </c>
      <c r="T73" s="5">
        <f t="shared" si="5"/>
        <v>3.9878451467999995E-3</v>
      </c>
      <c r="X73" s="114"/>
      <c r="AI73" s="83" t="s">
        <v>1011</v>
      </c>
    </row>
    <row r="74" spans="1:35" ht="16.8">
      <c r="A74" s="80">
        <v>69</v>
      </c>
      <c r="B74" t="s">
        <v>315</v>
      </c>
      <c r="C74" s="62">
        <v>46084.772222222222</v>
      </c>
      <c r="D74" t="s">
        <v>316</v>
      </c>
      <c r="E74" t="s">
        <v>336</v>
      </c>
      <c r="F74" t="s">
        <v>69</v>
      </c>
      <c r="G74" s="126" t="s">
        <v>467</v>
      </c>
      <c r="H74" t="s">
        <v>433</v>
      </c>
      <c r="J74" t="s">
        <v>319</v>
      </c>
      <c r="K74">
        <v>118.45</v>
      </c>
      <c r="L74">
        <v>27</v>
      </c>
      <c r="M74" s="54">
        <v>-2734.68</v>
      </c>
      <c r="O74" t="s">
        <v>1009</v>
      </c>
      <c r="P74">
        <v>-1</v>
      </c>
      <c r="Q74" s="55">
        <v>0.85507999999999995</v>
      </c>
      <c r="R74" s="61">
        <f t="shared" si="3"/>
        <v>-2338.3701743999995</v>
      </c>
      <c r="S74">
        <f t="shared" si="4"/>
        <v>2338.3701743999995</v>
      </c>
      <c r="T74" s="5">
        <f t="shared" si="5"/>
        <v>2.3383701743999994E-3</v>
      </c>
      <c r="X74" s="114"/>
      <c r="AI74" s="83" t="s">
        <v>1011</v>
      </c>
    </row>
    <row r="75" spans="1:35" ht="16.8">
      <c r="A75" s="80">
        <v>70</v>
      </c>
      <c r="B75" t="s">
        <v>315</v>
      </c>
      <c r="C75" s="62">
        <v>46084.772222222222</v>
      </c>
      <c r="D75" t="s">
        <v>316</v>
      </c>
      <c r="E75" t="s">
        <v>336</v>
      </c>
      <c r="F75" t="s">
        <v>69</v>
      </c>
      <c r="G75" s="126" t="s">
        <v>468</v>
      </c>
      <c r="H75" t="s">
        <v>433</v>
      </c>
      <c r="J75" t="s">
        <v>319</v>
      </c>
      <c r="K75">
        <v>72.180000000000007</v>
      </c>
      <c r="L75">
        <v>64</v>
      </c>
      <c r="M75" s="54">
        <v>-3950.06</v>
      </c>
      <c r="O75" t="s">
        <v>1009</v>
      </c>
      <c r="P75">
        <v>-1</v>
      </c>
      <c r="Q75" s="55">
        <v>0.85507999999999995</v>
      </c>
      <c r="R75" s="61">
        <f t="shared" si="3"/>
        <v>-3377.6173047999996</v>
      </c>
      <c r="S75">
        <f t="shared" si="4"/>
        <v>3377.6173047999996</v>
      </c>
      <c r="T75" s="5">
        <f t="shared" si="5"/>
        <v>3.3776173047999998E-3</v>
      </c>
      <c r="X75" s="114"/>
      <c r="AI75" s="83" t="s">
        <v>1011</v>
      </c>
    </row>
    <row r="76" spans="1:35" ht="16.8">
      <c r="A76" s="80">
        <v>71</v>
      </c>
      <c r="B76" t="s">
        <v>315</v>
      </c>
      <c r="C76" s="62">
        <v>46084.772916666669</v>
      </c>
      <c r="D76" t="s">
        <v>316</v>
      </c>
      <c r="E76" t="s">
        <v>336</v>
      </c>
      <c r="F76" t="s">
        <v>69</v>
      </c>
      <c r="G76" s="126" t="s">
        <v>469</v>
      </c>
      <c r="H76" t="s">
        <v>433</v>
      </c>
      <c r="J76" t="s">
        <v>319</v>
      </c>
      <c r="K76">
        <v>72.05</v>
      </c>
      <c r="L76">
        <v>48</v>
      </c>
      <c r="M76" s="54">
        <v>-2957.21</v>
      </c>
      <c r="O76" t="s">
        <v>1009</v>
      </c>
      <c r="P76">
        <v>-1</v>
      </c>
      <c r="Q76" s="55">
        <v>0.85507999999999995</v>
      </c>
      <c r="R76" s="61">
        <f t="shared" si="3"/>
        <v>-2528.6511267999999</v>
      </c>
      <c r="S76">
        <f t="shared" si="4"/>
        <v>2528.6511267999999</v>
      </c>
      <c r="T76" s="5">
        <f t="shared" si="5"/>
        <v>2.5286511268E-3</v>
      </c>
      <c r="X76" s="114"/>
      <c r="AI76" s="83" t="s">
        <v>1011</v>
      </c>
    </row>
    <row r="77" spans="1:35" ht="16.8">
      <c r="A77" s="80">
        <v>72</v>
      </c>
      <c r="B77" t="s">
        <v>315</v>
      </c>
      <c r="C77" s="62">
        <v>46084.775000000001</v>
      </c>
      <c r="D77" t="s">
        <v>316</v>
      </c>
      <c r="E77" t="s">
        <v>336</v>
      </c>
      <c r="F77" t="s">
        <v>69</v>
      </c>
      <c r="G77" s="126" t="s">
        <v>470</v>
      </c>
      <c r="H77" t="s">
        <v>433</v>
      </c>
      <c r="J77" t="s">
        <v>319</v>
      </c>
      <c r="K77">
        <v>43.17</v>
      </c>
      <c r="L77">
        <v>96</v>
      </c>
      <c r="M77">
        <v>-3543.73</v>
      </c>
      <c r="O77" t="s">
        <v>1009</v>
      </c>
      <c r="P77">
        <v>-1</v>
      </c>
      <c r="Q77" s="55">
        <v>0.85507999999999995</v>
      </c>
      <c r="R77" s="61">
        <f t="shared" si="3"/>
        <v>-3030.1726483999996</v>
      </c>
      <c r="S77">
        <f t="shared" si="4"/>
        <v>3030.1726483999996</v>
      </c>
      <c r="T77" s="5">
        <f t="shared" si="5"/>
        <v>3.0301726483999997E-3</v>
      </c>
      <c r="X77" s="114"/>
      <c r="AI77" s="83" t="s">
        <v>1011</v>
      </c>
    </row>
    <row r="78" spans="1:35" ht="16.8">
      <c r="A78" s="80">
        <v>73</v>
      </c>
      <c r="B78" t="s">
        <v>315</v>
      </c>
      <c r="C78" s="62">
        <v>46084.775000000001</v>
      </c>
      <c r="D78" t="s">
        <v>316</v>
      </c>
      <c r="E78" t="s">
        <v>336</v>
      </c>
      <c r="F78" t="s">
        <v>69</v>
      </c>
      <c r="G78" s="126" t="s">
        <v>471</v>
      </c>
      <c r="H78" t="s">
        <v>433</v>
      </c>
      <c r="J78" t="s">
        <v>319</v>
      </c>
      <c r="K78">
        <v>171.74</v>
      </c>
      <c r="L78">
        <v>25</v>
      </c>
      <c r="M78">
        <v>-3671.29</v>
      </c>
      <c r="O78" t="s">
        <v>1009</v>
      </c>
      <c r="P78">
        <v>-1</v>
      </c>
      <c r="Q78" s="55">
        <v>0.85507999999999995</v>
      </c>
      <c r="R78" s="61">
        <f t="shared" si="3"/>
        <v>-3139.2466531999999</v>
      </c>
      <c r="S78">
        <f t="shared" si="4"/>
        <v>3139.2466531999999</v>
      </c>
      <c r="T78" s="5">
        <f t="shared" si="5"/>
        <v>3.1392466531999998E-3</v>
      </c>
      <c r="X78" s="114"/>
      <c r="AI78" s="83" t="s">
        <v>1011</v>
      </c>
    </row>
    <row r="79" spans="1:35" ht="16.8">
      <c r="A79" s="80">
        <v>74</v>
      </c>
      <c r="B79" t="s">
        <v>315</v>
      </c>
      <c r="C79" s="62">
        <v>46084.775000000001</v>
      </c>
      <c r="D79" t="s">
        <v>316</v>
      </c>
      <c r="E79" t="s">
        <v>336</v>
      </c>
      <c r="F79" t="s">
        <v>69</v>
      </c>
      <c r="G79" s="126" t="s">
        <v>472</v>
      </c>
      <c r="H79" t="s">
        <v>433</v>
      </c>
      <c r="J79" t="s">
        <v>319</v>
      </c>
      <c r="K79">
        <v>59.05</v>
      </c>
      <c r="L79">
        <v>52</v>
      </c>
      <c r="M79">
        <v>-2625.61</v>
      </c>
      <c r="O79" t="s">
        <v>1009</v>
      </c>
      <c r="P79">
        <v>-1</v>
      </c>
      <c r="Q79" s="55">
        <v>0.85507999999999995</v>
      </c>
      <c r="R79" s="61">
        <f t="shared" si="3"/>
        <v>-2245.1065988</v>
      </c>
      <c r="S79">
        <f t="shared" si="4"/>
        <v>2245.1065988</v>
      </c>
      <c r="T79" s="5">
        <f t="shared" si="5"/>
        <v>2.2451065988000002E-3</v>
      </c>
      <c r="X79" s="114"/>
      <c r="AI79" s="83" t="s">
        <v>1011</v>
      </c>
    </row>
    <row r="80" spans="1:35" ht="16.8">
      <c r="A80" s="80">
        <v>75</v>
      </c>
      <c r="B80" t="s">
        <v>315</v>
      </c>
      <c r="C80" s="62">
        <v>46084.775000000001</v>
      </c>
      <c r="D80" t="s">
        <v>316</v>
      </c>
      <c r="E80" t="s">
        <v>336</v>
      </c>
      <c r="F80" t="s">
        <v>69</v>
      </c>
      <c r="G80" s="126" t="s">
        <v>473</v>
      </c>
      <c r="H80" t="s">
        <v>433</v>
      </c>
      <c r="J80" t="s">
        <v>319</v>
      </c>
      <c r="K80">
        <v>300.49</v>
      </c>
      <c r="L80">
        <v>17</v>
      </c>
      <c r="M80">
        <v>-4368.04</v>
      </c>
      <c r="O80" t="s">
        <v>1009</v>
      </c>
      <c r="P80">
        <v>-1</v>
      </c>
      <c r="Q80" s="55">
        <v>0.85507999999999995</v>
      </c>
      <c r="R80" s="61">
        <f t="shared" si="3"/>
        <v>-3735.0236431999997</v>
      </c>
      <c r="S80">
        <f t="shared" si="4"/>
        <v>3735.0236431999997</v>
      </c>
      <c r="T80" s="5">
        <f t="shared" si="5"/>
        <v>3.7350236431999998E-3</v>
      </c>
      <c r="X80" s="114"/>
      <c r="AI80" s="83" t="s">
        <v>1011</v>
      </c>
    </row>
    <row r="81" spans="1:35" ht="16.8">
      <c r="A81" s="80">
        <v>76</v>
      </c>
      <c r="B81" t="s">
        <v>315</v>
      </c>
      <c r="C81" s="62">
        <v>46084.775000000001</v>
      </c>
      <c r="D81" t="s">
        <v>316</v>
      </c>
      <c r="E81" t="s">
        <v>336</v>
      </c>
      <c r="F81" t="s">
        <v>69</v>
      </c>
      <c r="G81" s="126" t="s">
        <v>474</v>
      </c>
      <c r="H81" t="s">
        <v>433</v>
      </c>
      <c r="J81" t="s">
        <v>319</v>
      </c>
      <c r="K81">
        <v>181.58</v>
      </c>
      <c r="L81">
        <v>15</v>
      </c>
      <c r="M81">
        <v>-2328.98</v>
      </c>
      <c r="O81" t="s">
        <v>1009</v>
      </c>
      <c r="P81">
        <v>-1</v>
      </c>
      <c r="Q81" s="55">
        <v>0.85507999999999995</v>
      </c>
      <c r="R81" s="61">
        <f t="shared" si="3"/>
        <v>-1991.4642183999999</v>
      </c>
      <c r="S81">
        <f t="shared" si="4"/>
        <v>1991.4642183999999</v>
      </c>
      <c r="T81" s="5">
        <f t="shared" si="5"/>
        <v>1.9914642184E-3</v>
      </c>
      <c r="X81" s="114"/>
      <c r="AI81" s="83" t="s">
        <v>1011</v>
      </c>
    </row>
    <row r="82" spans="1:35" ht="16.8">
      <c r="A82" s="80">
        <v>77</v>
      </c>
      <c r="B82" t="s">
        <v>315</v>
      </c>
      <c r="C82" s="62">
        <v>46084.775000000001</v>
      </c>
      <c r="D82" t="s">
        <v>316</v>
      </c>
      <c r="E82" t="s">
        <v>336</v>
      </c>
      <c r="F82" t="s">
        <v>69</v>
      </c>
      <c r="G82" s="126" t="s">
        <v>475</v>
      </c>
      <c r="H82" t="s">
        <v>433</v>
      </c>
      <c r="J82" t="s">
        <v>319</v>
      </c>
      <c r="K82">
        <v>129.19999999999999</v>
      </c>
      <c r="L82">
        <v>48</v>
      </c>
      <c r="M82">
        <v>-5302.87</v>
      </c>
      <c r="O82" t="s">
        <v>1009</v>
      </c>
      <c r="P82">
        <v>-1</v>
      </c>
      <c r="Q82" s="55">
        <v>0.85507999999999995</v>
      </c>
      <c r="R82" s="61">
        <f t="shared" si="3"/>
        <v>-4534.3780796000001</v>
      </c>
      <c r="S82">
        <f t="shared" si="4"/>
        <v>4534.3780796000001</v>
      </c>
      <c r="T82" s="5">
        <f t="shared" si="5"/>
        <v>4.5343780795999997E-3</v>
      </c>
      <c r="X82" s="114"/>
      <c r="AI82" s="83" t="s">
        <v>1011</v>
      </c>
    </row>
    <row r="83" spans="1:35" ht="16.8">
      <c r="A83" s="80">
        <v>78</v>
      </c>
      <c r="B83" t="s">
        <v>315</v>
      </c>
      <c r="C83" s="62">
        <v>46084.775000000001</v>
      </c>
      <c r="D83" t="s">
        <v>316</v>
      </c>
      <c r="E83" t="s">
        <v>336</v>
      </c>
      <c r="F83" t="s">
        <v>69</v>
      </c>
      <c r="G83" s="126" t="s">
        <v>476</v>
      </c>
      <c r="H83" t="s">
        <v>433</v>
      </c>
      <c r="J83" t="s">
        <v>319</v>
      </c>
      <c r="K83">
        <v>99.7</v>
      </c>
      <c r="L83">
        <v>24</v>
      </c>
      <c r="M83">
        <v>-2046.04</v>
      </c>
      <c r="O83" t="s">
        <v>1009</v>
      </c>
      <c r="P83">
        <v>-1</v>
      </c>
      <c r="Q83" s="55">
        <v>0.85507999999999995</v>
      </c>
      <c r="R83" s="61">
        <f t="shared" si="3"/>
        <v>-1749.5278831999999</v>
      </c>
      <c r="S83">
        <f t="shared" si="4"/>
        <v>1749.5278831999999</v>
      </c>
      <c r="T83" s="5">
        <f t="shared" si="5"/>
        <v>1.7495278832E-3</v>
      </c>
      <c r="X83" s="114"/>
      <c r="AI83" s="83" t="s">
        <v>1011</v>
      </c>
    </row>
    <row r="84" spans="1:35" ht="16.8">
      <c r="A84" s="80">
        <v>79</v>
      </c>
      <c r="B84" t="s">
        <v>315</v>
      </c>
      <c r="C84" s="62">
        <v>46084.775694444441</v>
      </c>
      <c r="D84" t="s">
        <v>316</v>
      </c>
      <c r="E84" t="s">
        <v>336</v>
      </c>
      <c r="F84" t="s">
        <v>69</v>
      </c>
      <c r="G84" s="126" t="s">
        <v>477</v>
      </c>
      <c r="H84" t="s">
        <v>433</v>
      </c>
      <c r="J84" t="s">
        <v>319</v>
      </c>
      <c r="K84" s="55">
        <v>382.53</v>
      </c>
      <c r="L84">
        <v>5</v>
      </c>
      <c r="M84" s="54">
        <v>-1635.47</v>
      </c>
      <c r="O84" t="s">
        <v>1009</v>
      </c>
      <c r="P84">
        <v>-1</v>
      </c>
      <c r="Q84" s="55">
        <v>0.85507999999999995</v>
      </c>
      <c r="R84" s="61">
        <f t="shared" si="3"/>
        <v>-1398.4576875999999</v>
      </c>
      <c r="S84">
        <f t="shared" si="4"/>
        <v>1398.4576875999999</v>
      </c>
      <c r="T84" s="5">
        <f t="shared" si="5"/>
        <v>1.3984576875999998E-3</v>
      </c>
      <c r="X84" s="114"/>
      <c r="AI84" s="83" t="s">
        <v>1011</v>
      </c>
    </row>
    <row r="85" spans="1:35" ht="16.8">
      <c r="A85" s="80">
        <v>80</v>
      </c>
      <c r="B85" t="s">
        <v>315</v>
      </c>
      <c r="C85" s="62">
        <v>46084.775694444441</v>
      </c>
      <c r="D85" t="s">
        <v>316</v>
      </c>
      <c r="E85" t="s">
        <v>336</v>
      </c>
      <c r="F85" t="s">
        <v>69</v>
      </c>
      <c r="G85" s="126" t="s">
        <v>478</v>
      </c>
      <c r="H85" t="s">
        <v>433</v>
      </c>
      <c r="J85" t="s">
        <v>319</v>
      </c>
      <c r="K85">
        <v>42.6</v>
      </c>
      <c r="L85">
        <v>162</v>
      </c>
      <c r="M85">
        <v>-5901.08</v>
      </c>
      <c r="O85" t="s">
        <v>1009</v>
      </c>
      <c r="P85">
        <v>-1</v>
      </c>
      <c r="Q85" s="55">
        <v>0.85507999999999995</v>
      </c>
      <c r="R85" s="61">
        <f t="shared" si="3"/>
        <v>-5045.8954863999998</v>
      </c>
      <c r="S85">
        <f t="shared" si="4"/>
        <v>5045.8954863999998</v>
      </c>
      <c r="T85" s="5">
        <f t="shared" si="5"/>
        <v>5.0458954864E-3</v>
      </c>
      <c r="X85" s="114"/>
      <c r="AI85" s="83" t="s">
        <v>1011</v>
      </c>
    </row>
    <row r="86" spans="1:35" ht="16.8">
      <c r="A86" s="80">
        <v>81</v>
      </c>
      <c r="B86" t="s">
        <v>315</v>
      </c>
      <c r="C86" s="62">
        <v>46084.775694444441</v>
      </c>
      <c r="D86" t="s">
        <v>316</v>
      </c>
      <c r="E86" t="s">
        <v>336</v>
      </c>
      <c r="F86" t="s">
        <v>69</v>
      </c>
      <c r="G86" s="126" t="s">
        <v>479</v>
      </c>
      <c r="H86" t="s">
        <v>433</v>
      </c>
      <c r="J86" t="s">
        <v>319</v>
      </c>
      <c r="K86">
        <v>45.97</v>
      </c>
      <c r="L86">
        <v>36</v>
      </c>
      <c r="M86">
        <v>-1415.09</v>
      </c>
      <c r="O86" t="s">
        <v>1009</v>
      </c>
      <c r="P86">
        <v>-1</v>
      </c>
      <c r="Q86" s="55">
        <v>0.85507999999999995</v>
      </c>
      <c r="R86" s="61">
        <f t="shared" si="3"/>
        <v>-1210.0151571999997</v>
      </c>
      <c r="S86">
        <f t="shared" si="4"/>
        <v>1210.0151571999997</v>
      </c>
      <c r="T86" s="5">
        <f t="shared" si="5"/>
        <v>1.2100151571999998E-3</v>
      </c>
      <c r="X86" s="114"/>
      <c r="AI86" s="83" t="s">
        <v>1011</v>
      </c>
    </row>
    <row r="87" spans="1:35" ht="16.8">
      <c r="A87" s="80">
        <v>82</v>
      </c>
      <c r="B87" t="s">
        <v>315</v>
      </c>
      <c r="C87" s="62">
        <v>46084.775694444441</v>
      </c>
      <c r="D87" t="s">
        <v>316</v>
      </c>
      <c r="E87" t="s">
        <v>336</v>
      </c>
      <c r="F87" t="s">
        <v>69</v>
      </c>
      <c r="G87" s="126" t="s">
        <v>480</v>
      </c>
      <c r="H87" t="s">
        <v>433</v>
      </c>
      <c r="J87" t="s">
        <v>319</v>
      </c>
      <c r="K87">
        <v>200.56</v>
      </c>
      <c r="L87">
        <v>35</v>
      </c>
      <c r="M87">
        <v>-6002.33</v>
      </c>
      <c r="O87" t="s">
        <v>1009</v>
      </c>
      <c r="P87">
        <v>-1</v>
      </c>
      <c r="Q87" s="55">
        <v>0.85507999999999995</v>
      </c>
      <c r="R87" s="61">
        <f t="shared" si="3"/>
        <v>-5132.4723363999992</v>
      </c>
      <c r="S87">
        <f t="shared" si="4"/>
        <v>5132.4723363999992</v>
      </c>
      <c r="T87" s="5">
        <f t="shared" si="5"/>
        <v>5.1324723363999989E-3</v>
      </c>
      <c r="X87" s="114"/>
      <c r="AI87" s="83" t="s">
        <v>1011</v>
      </c>
    </row>
    <row r="88" spans="1:35" ht="16.8">
      <c r="A88" s="80">
        <v>83</v>
      </c>
      <c r="B88" t="s">
        <v>315</v>
      </c>
      <c r="C88" s="62">
        <v>46084.775694444441</v>
      </c>
      <c r="D88" t="s">
        <v>316</v>
      </c>
      <c r="E88" t="s">
        <v>336</v>
      </c>
      <c r="F88" t="s">
        <v>69</v>
      </c>
      <c r="G88" s="126" t="s">
        <v>481</v>
      </c>
      <c r="H88" t="s">
        <v>433</v>
      </c>
      <c r="J88" t="s">
        <v>319</v>
      </c>
      <c r="K88">
        <v>340.1</v>
      </c>
      <c r="L88">
        <v>5</v>
      </c>
      <c r="M88">
        <v>-1454.07</v>
      </c>
      <c r="O88" t="s">
        <v>1009</v>
      </c>
      <c r="P88">
        <v>-1</v>
      </c>
      <c r="Q88" s="55">
        <v>0.85507999999999995</v>
      </c>
      <c r="R88" s="61">
        <f t="shared" si="3"/>
        <v>-1243.3461755999999</v>
      </c>
      <c r="S88">
        <f t="shared" si="4"/>
        <v>1243.3461755999999</v>
      </c>
      <c r="T88" s="5">
        <f t="shared" si="5"/>
        <v>1.2433461756E-3</v>
      </c>
      <c r="X88" s="114"/>
      <c r="AI88" s="83" t="s">
        <v>1011</v>
      </c>
    </row>
    <row r="89" spans="1:35" ht="16.8">
      <c r="A89" s="80">
        <v>84</v>
      </c>
      <c r="B89" t="s">
        <v>315</v>
      </c>
      <c r="C89" s="62">
        <v>46084.775694444441</v>
      </c>
      <c r="D89" t="s">
        <v>316</v>
      </c>
      <c r="E89" t="s">
        <v>336</v>
      </c>
      <c r="F89" t="s">
        <v>69</v>
      </c>
      <c r="G89" s="126" t="s">
        <v>482</v>
      </c>
      <c r="H89" t="s">
        <v>433</v>
      </c>
      <c r="J89" t="s">
        <v>319</v>
      </c>
      <c r="K89">
        <v>354.09</v>
      </c>
      <c r="L89">
        <v>21</v>
      </c>
      <c r="M89">
        <v>-6358.29</v>
      </c>
      <c r="O89" t="s">
        <v>1009</v>
      </c>
      <c r="P89">
        <v>-1</v>
      </c>
      <c r="Q89" s="55">
        <v>0.85507999999999995</v>
      </c>
      <c r="R89" s="61">
        <f t="shared" si="3"/>
        <v>-5436.8466131999994</v>
      </c>
      <c r="S89">
        <f t="shared" si="4"/>
        <v>5436.8466131999994</v>
      </c>
      <c r="T89" s="5">
        <f t="shared" si="5"/>
        <v>5.436846613199999E-3</v>
      </c>
      <c r="X89" s="114"/>
      <c r="AI89" s="83" t="s">
        <v>1011</v>
      </c>
    </row>
    <row r="90" spans="1:35" ht="16.8">
      <c r="A90" s="80">
        <v>85</v>
      </c>
      <c r="B90" t="s">
        <v>315</v>
      </c>
      <c r="C90" s="62">
        <v>46084.775694444441</v>
      </c>
      <c r="D90" t="s">
        <v>316</v>
      </c>
      <c r="E90" t="s">
        <v>336</v>
      </c>
      <c r="F90" t="s">
        <v>69</v>
      </c>
      <c r="G90" s="126" t="s">
        <v>483</v>
      </c>
      <c r="H90" t="s">
        <v>433</v>
      </c>
      <c r="J90" t="s">
        <v>319</v>
      </c>
      <c r="K90">
        <v>229.39</v>
      </c>
      <c r="L90">
        <v>7</v>
      </c>
      <c r="M90">
        <v>-1373.03</v>
      </c>
      <c r="O90" t="s">
        <v>1009</v>
      </c>
      <c r="P90">
        <v>-1</v>
      </c>
      <c r="Q90" s="55">
        <v>0.85507999999999995</v>
      </c>
      <c r="R90" s="61">
        <f t="shared" si="3"/>
        <v>-1174.0504923999999</v>
      </c>
      <c r="S90">
        <f t="shared" si="4"/>
        <v>1174.0504923999999</v>
      </c>
      <c r="T90" s="5">
        <f t="shared" si="5"/>
        <v>1.1740504923999999E-3</v>
      </c>
      <c r="X90" s="114"/>
      <c r="AI90" s="83" t="s">
        <v>1011</v>
      </c>
    </row>
    <row r="91" spans="1:35" ht="16.8">
      <c r="A91" s="80">
        <v>86</v>
      </c>
      <c r="B91" t="s">
        <v>315</v>
      </c>
      <c r="C91" s="62">
        <v>46084.775694444441</v>
      </c>
      <c r="D91" t="s">
        <v>316</v>
      </c>
      <c r="E91" t="s">
        <v>336</v>
      </c>
      <c r="F91" t="s">
        <v>69</v>
      </c>
      <c r="G91" s="126" t="s">
        <v>484</v>
      </c>
      <c r="H91" t="s">
        <v>433</v>
      </c>
      <c r="J91" t="s">
        <v>319</v>
      </c>
      <c r="K91">
        <v>137.65</v>
      </c>
      <c r="L91">
        <v>58</v>
      </c>
      <c r="M91">
        <v>-6829.71</v>
      </c>
      <c r="O91" t="s">
        <v>1009</v>
      </c>
      <c r="P91">
        <v>-1</v>
      </c>
      <c r="Q91" s="55">
        <v>0.85507999999999995</v>
      </c>
      <c r="R91" s="61">
        <f t="shared" si="3"/>
        <v>-5839.9484267999997</v>
      </c>
      <c r="S91">
        <f t="shared" si="4"/>
        <v>5839.9484267999997</v>
      </c>
      <c r="T91" s="5">
        <f t="shared" si="5"/>
        <v>5.8399484268E-3</v>
      </c>
      <c r="X91" s="114"/>
      <c r="AI91" s="83" t="s">
        <v>1011</v>
      </c>
    </row>
    <row r="92" spans="1:35" ht="16.8">
      <c r="A92" s="80">
        <v>87</v>
      </c>
      <c r="B92" t="s">
        <v>315</v>
      </c>
      <c r="C92" s="62">
        <v>46084.777777777781</v>
      </c>
      <c r="D92" t="s">
        <v>316</v>
      </c>
      <c r="E92" t="s">
        <v>336</v>
      </c>
      <c r="F92" t="s">
        <v>69</v>
      </c>
      <c r="G92" s="126" t="s">
        <v>485</v>
      </c>
      <c r="H92" t="s">
        <v>433</v>
      </c>
      <c r="J92" t="s">
        <v>319</v>
      </c>
      <c r="K92">
        <v>98.66</v>
      </c>
      <c r="L92">
        <v>10</v>
      </c>
      <c r="M92">
        <v>-843.62</v>
      </c>
      <c r="O92" t="s">
        <v>1009</v>
      </c>
      <c r="P92">
        <v>-1</v>
      </c>
      <c r="Q92" s="55">
        <v>0.85507999999999995</v>
      </c>
      <c r="R92" s="61">
        <f t="shared" si="3"/>
        <v>-721.36258959999998</v>
      </c>
      <c r="S92">
        <f t="shared" si="4"/>
        <v>721.36258959999998</v>
      </c>
      <c r="T92" s="5">
        <f t="shared" si="5"/>
        <v>7.2136258960000003E-4</v>
      </c>
      <c r="X92" s="114"/>
      <c r="AI92" s="83" t="s">
        <v>1011</v>
      </c>
    </row>
    <row r="93" spans="1:35" ht="16.8">
      <c r="A93" s="80">
        <v>88</v>
      </c>
      <c r="B93" t="s">
        <v>315</v>
      </c>
      <c r="C93" s="62">
        <v>46084.77847222222</v>
      </c>
      <c r="D93" t="s">
        <v>316</v>
      </c>
      <c r="E93" t="s">
        <v>336</v>
      </c>
      <c r="F93" t="s">
        <v>69</v>
      </c>
      <c r="G93" s="2" t="s">
        <v>486</v>
      </c>
      <c r="H93" t="s">
        <v>433</v>
      </c>
      <c r="J93" t="s">
        <v>319</v>
      </c>
      <c r="K93">
        <v>61.36</v>
      </c>
      <c r="L93">
        <v>4</v>
      </c>
      <c r="M93">
        <v>-209.87</v>
      </c>
      <c r="O93" t="s">
        <v>1009</v>
      </c>
      <c r="P93">
        <v>-1</v>
      </c>
      <c r="Q93" s="55">
        <v>0.85507999999999995</v>
      </c>
      <c r="R93" s="61">
        <f t="shared" si="3"/>
        <v>-179.45563959999998</v>
      </c>
      <c r="S93">
        <f t="shared" si="4"/>
        <v>179.45563959999998</v>
      </c>
      <c r="T93" s="5">
        <f t="shared" si="5"/>
        <v>1.7945563959999999E-4</v>
      </c>
      <c r="X93" s="114"/>
      <c r="AI93" s="83" t="s">
        <v>1011</v>
      </c>
    </row>
    <row r="94" spans="1:35" ht="16.8">
      <c r="A94" s="80">
        <v>89</v>
      </c>
      <c r="B94" t="s">
        <v>315</v>
      </c>
      <c r="C94" s="62">
        <v>46084.779166666667</v>
      </c>
      <c r="D94" t="s">
        <v>316</v>
      </c>
      <c r="E94" t="s">
        <v>336</v>
      </c>
      <c r="F94" t="s">
        <v>69</v>
      </c>
      <c r="G94" s="2" t="s">
        <v>487</v>
      </c>
      <c r="H94" t="s">
        <v>433</v>
      </c>
      <c r="J94" t="s">
        <v>319</v>
      </c>
      <c r="K94">
        <v>78.77</v>
      </c>
      <c r="L94">
        <v>121</v>
      </c>
      <c r="M94">
        <v>-8149.92</v>
      </c>
      <c r="O94" t="s">
        <v>1009</v>
      </c>
      <c r="P94">
        <v>-1</v>
      </c>
      <c r="Q94" s="55">
        <v>0.85507999999999995</v>
      </c>
      <c r="R94" s="61">
        <f t="shared" si="3"/>
        <v>-6968.8335935999994</v>
      </c>
      <c r="S94">
        <f t="shared" si="4"/>
        <v>6968.8335935999994</v>
      </c>
      <c r="T94" s="5">
        <f t="shared" si="5"/>
        <v>6.9688335935999997E-3</v>
      </c>
      <c r="X94" s="114"/>
      <c r="AI94" s="83" t="s">
        <v>1011</v>
      </c>
    </row>
    <row r="95" spans="1:35" ht="16.8">
      <c r="A95" s="80">
        <v>90</v>
      </c>
      <c r="B95" t="s">
        <v>315</v>
      </c>
      <c r="C95" s="62">
        <v>46084.779166666667</v>
      </c>
      <c r="D95" t="s">
        <v>316</v>
      </c>
      <c r="E95" t="s">
        <v>336</v>
      </c>
      <c r="F95" t="s">
        <v>69</v>
      </c>
      <c r="G95" s="2" t="s">
        <v>488</v>
      </c>
      <c r="H95" t="s">
        <v>433</v>
      </c>
      <c r="J95" t="s">
        <v>319</v>
      </c>
      <c r="K95">
        <v>191.54</v>
      </c>
      <c r="L95">
        <v>1</v>
      </c>
      <c r="M95">
        <v>-163.78</v>
      </c>
      <c r="O95" t="s">
        <v>1009</v>
      </c>
      <c r="P95">
        <v>-1</v>
      </c>
      <c r="Q95" s="55">
        <v>0.85507999999999995</v>
      </c>
      <c r="R95" s="61">
        <f t="shared" si="3"/>
        <v>-140.04500239999999</v>
      </c>
      <c r="S95">
        <f t="shared" si="4"/>
        <v>140.04500239999999</v>
      </c>
      <c r="T95" s="5">
        <f t="shared" si="5"/>
        <v>1.4004500239999998E-4</v>
      </c>
      <c r="X95" s="114"/>
      <c r="AI95" s="83" t="s">
        <v>1011</v>
      </c>
    </row>
    <row r="96" spans="1:35" ht="16.8">
      <c r="A96" s="80">
        <v>91</v>
      </c>
      <c r="B96" t="s">
        <v>315</v>
      </c>
      <c r="C96" s="62">
        <v>46084.779166666667</v>
      </c>
      <c r="D96" t="s">
        <v>316</v>
      </c>
      <c r="E96" t="s">
        <v>336</v>
      </c>
      <c r="F96" t="s">
        <v>69</v>
      </c>
      <c r="G96" s="2" t="s">
        <v>489</v>
      </c>
      <c r="H96" t="s">
        <v>433</v>
      </c>
      <c r="J96" t="s">
        <v>319</v>
      </c>
      <c r="K96">
        <v>217.27</v>
      </c>
      <c r="L96">
        <v>45</v>
      </c>
      <c r="M96">
        <v>-8360.25</v>
      </c>
      <c r="O96" t="s">
        <v>1009</v>
      </c>
      <c r="P96">
        <v>-1</v>
      </c>
      <c r="Q96" s="55">
        <v>0.85507999999999995</v>
      </c>
      <c r="R96" s="61">
        <f t="shared" si="3"/>
        <v>-7148.6825699999999</v>
      </c>
      <c r="S96">
        <f t="shared" si="4"/>
        <v>7148.6825699999999</v>
      </c>
      <c r="T96" s="5">
        <f t="shared" si="5"/>
        <v>7.1486825700000003E-3</v>
      </c>
      <c r="X96" s="114"/>
      <c r="AI96" s="83" t="s">
        <v>1011</v>
      </c>
    </row>
    <row r="97" spans="1:35" ht="16.8">
      <c r="A97" s="80">
        <v>92</v>
      </c>
      <c r="B97" t="s">
        <v>315</v>
      </c>
      <c r="C97" s="62">
        <v>46084.779861111114</v>
      </c>
      <c r="D97" t="s">
        <v>316</v>
      </c>
      <c r="E97" t="s">
        <v>336</v>
      </c>
      <c r="F97" t="s">
        <v>69</v>
      </c>
      <c r="G97" s="2" t="s">
        <v>490</v>
      </c>
      <c r="H97" t="s">
        <v>433</v>
      </c>
      <c r="J97" t="s">
        <v>319</v>
      </c>
      <c r="K97">
        <v>115.44</v>
      </c>
      <c r="L97">
        <v>1</v>
      </c>
      <c r="M97">
        <v>-98.71</v>
      </c>
      <c r="O97" t="s">
        <v>1009</v>
      </c>
      <c r="P97">
        <v>-1</v>
      </c>
      <c r="Q97" s="55">
        <v>0.85507999999999995</v>
      </c>
      <c r="R97" s="61">
        <f t="shared" si="3"/>
        <v>-84.404946799999991</v>
      </c>
      <c r="S97">
        <f t="shared" si="4"/>
        <v>84.404946799999991</v>
      </c>
      <c r="T97" s="5">
        <f t="shared" si="5"/>
        <v>8.4404946799999987E-5</v>
      </c>
      <c r="X97" s="114"/>
      <c r="AI97" s="83" t="s">
        <v>1011</v>
      </c>
    </row>
    <row r="98" spans="1:35" ht="16.8">
      <c r="A98" s="80">
        <v>93</v>
      </c>
      <c r="B98" t="s">
        <v>315</v>
      </c>
      <c r="C98" s="62">
        <v>46084.779861111114</v>
      </c>
      <c r="D98" t="s">
        <v>316</v>
      </c>
      <c r="E98" t="s">
        <v>336</v>
      </c>
      <c r="F98" t="s">
        <v>69</v>
      </c>
      <c r="G98" s="2" t="s">
        <v>491</v>
      </c>
      <c r="H98" t="s">
        <v>433</v>
      </c>
      <c r="J98" t="s">
        <v>319</v>
      </c>
      <c r="K98">
        <v>46.28</v>
      </c>
      <c r="L98">
        <v>243</v>
      </c>
      <c r="M98">
        <v>-9616.27</v>
      </c>
      <c r="O98" t="s">
        <v>1009</v>
      </c>
      <c r="P98">
        <v>-1</v>
      </c>
      <c r="Q98" s="55">
        <v>0.85507999999999995</v>
      </c>
      <c r="R98" s="61">
        <f t="shared" si="3"/>
        <v>-8222.6801515999996</v>
      </c>
      <c r="S98">
        <f t="shared" si="4"/>
        <v>8222.6801515999996</v>
      </c>
      <c r="T98" s="5">
        <f t="shared" si="5"/>
        <v>8.2226801515999995E-3</v>
      </c>
      <c r="X98" s="114"/>
      <c r="AI98" s="83" t="s">
        <v>1011</v>
      </c>
    </row>
    <row r="99" spans="1:35" ht="16.8">
      <c r="A99" s="80">
        <v>94</v>
      </c>
      <c r="B99" t="s">
        <v>315</v>
      </c>
      <c r="C99" s="62">
        <v>46084.779861111114</v>
      </c>
      <c r="D99" t="s">
        <v>316</v>
      </c>
      <c r="E99" t="s">
        <v>336</v>
      </c>
      <c r="F99" t="s">
        <v>69</v>
      </c>
      <c r="G99" s="2" t="s">
        <v>492</v>
      </c>
      <c r="H99" t="s">
        <v>433</v>
      </c>
      <c r="J99" t="s">
        <v>319</v>
      </c>
      <c r="K99">
        <v>421.64</v>
      </c>
      <c r="L99">
        <v>1</v>
      </c>
      <c r="M99">
        <v>-360.54</v>
      </c>
      <c r="O99" t="s">
        <v>1009</v>
      </c>
      <c r="P99">
        <v>-1</v>
      </c>
      <c r="Q99" s="55">
        <v>0.85507999999999995</v>
      </c>
      <c r="R99" s="61">
        <f t="shared" si="3"/>
        <v>-308.2905432</v>
      </c>
      <c r="S99">
        <f t="shared" si="4"/>
        <v>308.2905432</v>
      </c>
      <c r="T99" s="5">
        <f t="shared" si="5"/>
        <v>3.0829054320000003E-4</v>
      </c>
      <c r="X99" s="114"/>
      <c r="AI99" s="83" t="s">
        <v>1011</v>
      </c>
    </row>
    <row r="100" spans="1:35" ht="16.8">
      <c r="A100" s="80">
        <v>95</v>
      </c>
      <c r="B100" t="s">
        <v>315</v>
      </c>
      <c r="C100" s="62">
        <v>46084.779861111114</v>
      </c>
      <c r="D100" t="s">
        <v>316</v>
      </c>
      <c r="E100" t="s">
        <v>336</v>
      </c>
      <c r="F100" t="s">
        <v>69</v>
      </c>
      <c r="G100" s="2" t="s">
        <v>493</v>
      </c>
      <c r="H100" t="s">
        <v>433</v>
      </c>
      <c r="J100" t="s">
        <v>319</v>
      </c>
      <c r="K100">
        <v>78.400000000000006</v>
      </c>
      <c r="L100">
        <v>30</v>
      </c>
      <c r="M100">
        <v>-2011.15</v>
      </c>
      <c r="O100" t="s">
        <v>1009</v>
      </c>
      <c r="P100">
        <v>-1</v>
      </c>
      <c r="Q100" s="55">
        <v>0.85507999999999995</v>
      </c>
      <c r="R100" s="61">
        <f t="shared" si="3"/>
        <v>-1719.6941420000001</v>
      </c>
      <c r="S100">
        <f t="shared" si="4"/>
        <v>1719.6941420000001</v>
      </c>
      <c r="T100" s="5">
        <f t="shared" si="5"/>
        <v>1.719694142E-3</v>
      </c>
      <c r="X100" s="114"/>
      <c r="AI100" s="83" t="s">
        <v>1011</v>
      </c>
    </row>
    <row r="101" spans="1:35" ht="16.8">
      <c r="A101" s="80">
        <v>96</v>
      </c>
      <c r="B101" t="s">
        <v>315</v>
      </c>
      <c r="C101" s="62">
        <v>46084.779861111114</v>
      </c>
      <c r="D101" t="s">
        <v>316</v>
      </c>
      <c r="E101" t="s">
        <v>336</v>
      </c>
      <c r="F101" t="s">
        <v>69</v>
      </c>
      <c r="G101" s="2" t="s">
        <v>494</v>
      </c>
      <c r="H101" t="s">
        <v>433</v>
      </c>
      <c r="J101" t="s">
        <v>319</v>
      </c>
      <c r="K101">
        <v>88.29</v>
      </c>
      <c r="L101">
        <v>134</v>
      </c>
      <c r="M101">
        <v>-10116.34</v>
      </c>
      <c r="O101" t="s">
        <v>1009</v>
      </c>
      <c r="P101">
        <v>-1</v>
      </c>
      <c r="Q101" s="55">
        <v>0.85507999999999995</v>
      </c>
      <c r="R101" s="61">
        <f t="shared" si="3"/>
        <v>-8650.2800071999991</v>
      </c>
      <c r="S101">
        <f t="shared" si="4"/>
        <v>8650.2800071999991</v>
      </c>
      <c r="T101" s="5">
        <f t="shared" si="5"/>
        <v>8.6502800071999991E-3</v>
      </c>
      <c r="X101" s="114"/>
      <c r="AI101" s="83" t="s">
        <v>1011</v>
      </c>
    </row>
    <row r="102" spans="1:35" ht="16.8">
      <c r="A102" s="80">
        <v>97</v>
      </c>
      <c r="B102" t="s">
        <v>315</v>
      </c>
      <c r="C102" s="62">
        <v>46084.780555555553</v>
      </c>
      <c r="D102" t="s">
        <v>316</v>
      </c>
      <c r="E102" t="s">
        <v>336</v>
      </c>
      <c r="F102" t="s">
        <v>69</v>
      </c>
      <c r="G102" s="2" t="s">
        <v>495</v>
      </c>
      <c r="H102" t="s">
        <v>433</v>
      </c>
      <c r="J102" t="s">
        <v>319</v>
      </c>
      <c r="K102">
        <v>220.9</v>
      </c>
      <c r="L102">
        <v>55</v>
      </c>
      <c r="M102">
        <v>-10388.81</v>
      </c>
      <c r="O102" t="s">
        <v>1009</v>
      </c>
      <c r="P102">
        <v>-1</v>
      </c>
      <c r="Q102" s="55">
        <v>0.85507999999999995</v>
      </c>
      <c r="R102" s="61">
        <f t="shared" si="3"/>
        <v>-8883.2636547999991</v>
      </c>
      <c r="S102">
        <f t="shared" si="4"/>
        <v>8883.2636547999991</v>
      </c>
      <c r="T102" s="5">
        <f t="shared" si="5"/>
        <v>8.8832636547999996E-3</v>
      </c>
      <c r="X102" s="114"/>
      <c r="AI102" s="83" t="s">
        <v>1011</v>
      </c>
    </row>
    <row r="103" spans="1:35" ht="16.8">
      <c r="A103" s="80">
        <v>98</v>
      </c>
      <c r="B103" t="s">
        <v>315</v>
      </c>
      <c r="C103" s="62">
        <v>46084.780555555553</v>
      </c>
      <c r="D103" t="s">
        <v>316</v>
      </c>
      <c r="E103" t="s">
        <v>336</v>
      </c>
      <c r="F103" t="s">
        <v>69</v>
      </c>
      <c r="G103" s="2" t="s">
        <v>496</v>
      </c>
      <c r="H103" t="s">
        <v>433</v>
      </c>
      <c r="J103" t="s">
        <v>319</v>
      </c>
      <c r="K103">
        <v>216.38</v>
      </c>
      <c r="L103">
        <v>14</v>
      </c>
      <c r="M103">
        <v>-2590.31</v>
      </c>
      <c r="O103" t="s">
        <v>1009</v>
      </c>
      <c r="P103">
        <v>-1</v>
      </c>
      <c r="Q103" s="55">
        <v>0.85507999999999995</v>
      </c>
      <c r="R103" s="61">
        <f t="shared" si="3"/>
        <v>-2214.9222747999997</v>
      </c>
      <c r="S103">
        <f t="shared" si="4"/>
        <v>2214.9222747999997</v>
      </c>
      <c r="T103" s="5">
        <f t="shared" si="5"/>
        <v>2.2149222747999998E-3</v>
      </c>
      <c r="X103" s="114"/>
      <c r="AI103" s="83" t="s">
        <v>1011</v>
      </c>
    </row>
    <row r="104" spans="1:35" ht="16.8">
      <c r="A104" s="80">
        <v>99</v>
      </c>
      <c r="B104" t="s">
        <v>315</v>
      </c>
      <c r="C104" s="62">
        <v>46084.78125</v>
      </c>
      <c r="D104" t="s">
        <v>316</v>
      </c>
      <c r="E104" t="s">
        <v>336</v>
      </c>
      <c r="F104" t="s">
        <v>69</v>
      </c>
      <c r="G104" s="2" t="s">
        <v>497</v>
      </c>
      <c r="H104" t="s">
        <v>433</v>
      </c>
      <c r="J104" t="s">
        <v>319</v>
      </c>
      <c r="K104">
        <v>140.4</v>
      </c>
      <c r="L104">
        <v>88</v>
      </c>
      <c r="M104">
        <v>-10564.7</v>
      </c>
      <c r="O104" t="s">
        <v>1009</v>
      </c>
      <c r="P104">
        <v>-1</v>
      </c>
      <c r="Q104" s="55">
        <v>0.85507999999999995</v>
      </c>
      <c r="R104" s="61">
        <f t="shared" si="3"/>
        <v>-9033.6636760000001</v>
      </c>
      <c r="S104">
        <f t="shared" si="4"/>
        <v>9033.6636760000001</v>
      </c>
      <c r="T104" s="5">
        <f t="shared" si="5"/>
        <v>9.0336636759999998E-3</v>
      </c>
      <c r="AI104" s="83" t="s">
        <v>1011</v>
      </c>
    </row>
    <row r="105" spans="1:35" ht="16.8">
      <c r="A105" s="80">
        <v>100</v>
      </c>
      <c r="B105" t="s">
        <v>315</v>
      </c>
      <c r="C105" s="62">
        <v>46084.78125</v>
      </c>
      <c r="D105" t="s">
        <v>316</v>
      </c>
      <c r="E105" t="s">
        <v>336</v>
      </c>
      <c r="F105" t="s">
        <v>69</v>
      </c>
      <c r="G105" s="2" t="s">
        <v>498</v>
      </c>
      <c r="H105" t="s">
        <v>433</v>
      </c>
      <c r="J105" t="s">
        <v>319</v>
      </c>
      <c r="K105">
        <v>473.88</v>
      </c>
      <c r="L105">
        <v>26</v>
      </c>
      <c r="M105">
        <v>-10535.35</v>
      </c>
      <c r="O105" t="s">
        <v>1009</v>
      </c>
      <c r="P105">
        <v>-1</v>
      </c>
      <c r="Q105" s="55">
        <v>0.85507999999999995</v>
      </c>
      <c r="R105" s="61">
        <f t="shared" si="3"/>
        <v>-9008.567078</v>
      </c>
      <c r="S105">
        <f t="shared" si="4"/>
        <v>9008.567078</v>
      </c>
      <c r="T105" s="5">
        <f t="shared" si="5"/>
        <v>9.0085670780000009E-3</v>
      </c>
      <c r="AI105" s="83" t="s">
        <v>1011</v>
      </c>
    </row>
    <row r="106" spans="1:35" ht="16.8">
      <c r="A106" s="80">
        <v>101</v>
      </c>
      <c r="B106" t="s">
        <v>315</v>
      </c>
      <c r="C106" s="62">
        <v>46084.781944444447</v>
      </c>
      <c r="D106" t="s">
        <v>316</v>
      </c>
      <c r="E106" t="s">
        <v>336</v>
      </c>
      <c r="F106" t="s">
        <v>69</v>
      </c>
      <c r="G106" s="2" t="s">
        <v>499</v>
      </c>
      <c r="H106" t="s">
        <v>433</v>
      </c>
      <c r="J106" t="s">
        <v>319</v>
      </c>
      <c r="K106">
        <v>123.13</v>
      </c>
      <c r="L106">
        <v>112</v>
      </c>
      <c r="M106">
        <v>-11792.04</v>
      </c>
      <c r="O106" t="s">
        <v>1009</v>
      </c>
      <c r="P106">
        <v>-1</v>
      </c>
      <c r="Q106" s="55">
        <v>0.85507999999999995</v>
      </c>
      <c r="R106" s="61">
        <f t="shared" si="3"/>
        <v>-10083.1375632</v>
      </c>
      <c r="S106">
        <f t="shared" si="4"/>
        <v>10083.1375632</v>
      </c>
      <c r="T106" s="5">
        <f t="shared" si="5"/>
        <v>1.0083137563199999E-2</v>
      </c>
      <c r="AI106" s="83" t="s">
        <v>1011</v>
      </c>
    </row>
    <row r="107" spans="1:35" ht="16.8">
      <c r="A107" s="80">
        <v>102</v>
      </c>
      <c r="B107" t="s">
        <v>315</v>
      </c>
      <c r="C107" s="62">
        <v>46084.782638888886</v>
      </c>
      <c r="D107" t="s">
        <v>316</v>
      </c>
      <c r="E107" t="s">
        <v>336</v>
      </c>
      <c r="F107" t="s">
        <v>69</v>
      </c>
      <c r="G107" s="2" t="s">
        <v>500</v>
      </c>
      <c r="H107" t="s">
        <v>433</v>
      </c>
      <c r="J107" t="s">
        <v>319</v>
      </c>
      <c r="K107">
        <v>157.08000000000001</v>
      </c>
      <c r="L107">
        <v>88</v>
      </c>
      <c r="M107">
        <v>-11819.82</v>
      </c>
      <c r="O107" t="s">
        <v>1009</v>
      </c>
      <c r="P107">
        <v>-1</v>
      </c>
      <c r="Q107" s="55">
        <v>0.85507999999999995</v>
      </c>
      <c r="R107" s="61">
        <f t="shared" si="3"/>
        <v>-10106.8916856</v>
      </c>
      <c r="S107">
        <f t="shared" si="4"/>
        <v>10106.8916856</v>
      </c>
      <c r="T107" s="5">
        <f t="shared" si="5"/>
        <v>1.01068916856E-2</v>
      </c>
      <c r="AI107" s="83" t="s">
        <v>1011</v>
      </c>
    </row>
    <row r="108" spans="1:35" ht="16.8">
      <c r="A108" s="80">
        <v>103</v>
      </c>
      <c r="B108" t="s">
        <v>315</v>
      </c>
      <c r="C108" s="62">
        <v>46084.782638888886</v>
      </c>
      <c r="D108" t="s">
        <v>316</v>
      </c>
      <c r="E108" t="s">
        <v>336</v>
      </c>
      <c r="F108" t="s">
        <v>69</v>
      </c>
      <c r="G108" s="126" t="s">
        <v>501</v>
      </c>
      <c r="H108" t="s">
        <v>433</v>
      </c>
      <c r="J108" t="s">
        <v>319</v>
      </c>
      <c r="K108">
        <v>72.599999999999994</v>
      </c>
      <c r="L108">
        <v>237</v>
      </c>
      <c r="M108">
        <v>-14712.69</v>
      </c>
      <c r="O108" t="s">
        <v>1009</v>
      </c>
      <c r="P108">
        <v>-1</v>
      </c>
      <c r="Q108" s="55">
        <v>0.85507999999999995</v>
      </c>
      <c r="R108" s="61">
        <f t="shared" si="3"/>
        <v>-12580.526965199999</v>
      </c>
      <c r="S108">
        <f t="shared" si="4"/>
        <v>12580.526965199999</v>
      </c>
      <c r="T108" s="5">
        <f t="shared" si="5"/>
        <v>1.25805269652E-2</v>
      </c>
      <c r="AI108" s="83" t="s">
        <v>1011</v>
      </c>
    </row>
    <row r="109" spans="1:35" ht="16.8">
      <c r="C109" s="62">
        <v>46085.25</v>
      </c>
      <c r="D109" t="s">
        <v>502</v>
      </c>
      <c r="E109" t="s">
        <v>336</v>
      </c>
      <c r="F109" t="s">
        <v>69</v>
      </c>
      <c r="G109" s="126" t="s">
        <v>503</v>
      </c>
      <c r="H109" t="s">
        <v>433</v>
      </c>
      <c r="J109" t="s">
        <v>319</v>
      </c>
      <c r="K109">
        <v>0.14000000000000001</v>
      </c>
      <c r="L109">
        <v>36</v>
      </c>
      <c r="M109">
        <v>4.34</v>
      </c>
      <c r="O109" t="s">
        <v>1009</v>
      </c>
      <c r="P109">
        <v>0</v>
      </c>
      <c r="Q109" s="55">
        <v>0.86150000000000004</v>
      </c>
      <c r="R109" s="61">
        <f t="shared" si="3"/>
        <v>3.7389100000000002</v>
      </c>
      <c r="S109">
        <f t="shared" si="4"/>
        <v>3.7389100000000002</v>
      </c>
      <c r="T109" s="5">
        <f t="shared" si="5"/>
        <v>3.7389100000000002E-6</v>
      </c>
      <c r="AI109" s="83" t="s">
        <v>1011</v>
      </c>
    </row>
    <row r="110" spans="1:35" ht="16.8">
      <c r="C110" s="62">
        <v>46085.25</v>
      </c>
      <c r="D110" t="s">
        <v>502</v>
      </c>
      <c r="E110" t="s">
        <v>336</v>
      </c>
      <c r="F110" t="s">
        <v>69</v>
      </c>
      <c r="G110" s="126" t="s">
        <v>504</v>
      </c>
      <c r="H110" t="s">
        <v>433</v>
      </c>
      <c r="J110" t="s">
        <v>319</v>
      </c>
      <c r="K110">
        <v>0.28000000000000003</v>
      </c>
      <c r="L110">
        <v>106</v>
      </c>
      <c r="M110">
        <v>25.54</v>
      </c>
      <c r="O110" t="s">
        <v>1009</v>
      </c>
      <c r="P110">
        <v>0</v>
      </c>
      <c r="Q110" s="55">
        <v>0.86150000000000004</v>
      </c>
      <c r="R110" s="61">
        <f t="shared" si="3"/>
        <v>22.00271</v>
      </c>
      <c r="S110">
        <f t="shared" si="4"/>
        <v>22.00271</v>
      </c>
      <c r="T110" s="5">
        <f t="shared" si="5"/>
        <v>2.2002709999999999E-5</v>
      </c>
      <c r="AI110" s="83" t="s">
        <v>1011</v>
      </c>
    </row>
    <row r="111" spans="1:35" ht="16.8">
      <c r="C111" s="62">
        <v>46085.25</v>
      </c>
      <c r="D111" t="s">
        <v>502</v>
      </c>
      <c r="E111" t="s">
        <v>336</v>
      </c>
      <c r="F111" t="s">
        <v>69</v>
      </c>
      <c r="G111" s="126" t="s">
        <v>505</v>
      </c>
      <c r="H111" t="s">
        <v>433</v>
      </c>
      <c r="J111" t="s">
        <v>319</v>
      </c>
      <c r="K111">
        <v>0.26</v>
      </c>
      <c r="L111">
        <v>55</v>
      </c>
      <c r="M111">
        <v>12.31</v>
      </c>
      <c r="O111" t="s">
        <v>1009</v>
      </c>
      <c r="P111">
        <v>0</v>
      </c>
      <c r="Q111" s="55">
        <v>0.86150000000000004</v>
      </c>
      <c r="R111" s="61">
        <f t="shared" si="3"/>
        <v>10.605065000000002</v>
      </c>
      <c r="S111">
        <f t="shared" si="4"/>
        <v>10.605065000000002</v>
      </c>
      <c r="T111" s="5">
        <f t="shared" si="5"/>
        <v>1.0605065000000002E-5</v>
      </c>
      <c r="AI111" s="83" t="s">
        <v>1011</v>
      </c>
    </row>
    <row r="112" spans="1:35" ht="16.8">
      <c r="C112" s="62">
        <v>46085.25</v>
      </c>
      <c r="D112" t="s">
        <v>502</v>
      </c>
      <c r="E112" t="s">
        <v>336</v>
      </c>
      <c r="F112" t="s">
        <v>69</v>
      </c>
      <c r="G112" s="126" t="s">
        <v>484</v>
      </c>
      <c r="H112" t="s">
        <v>433</v>
      </c>
      <c r="J112" t="s">
        <v>319</v>
      </c>
      <c r="K112">
        <v>0.89</v>
      </c>
      <c r="L112">
        <v>58</v>
      </c>
      <c r="M112">
        <v>44.36</v>
      </c>
      <c r="O112" t="s">
        <v>1009</v>
      </c>
      <c r="P112">
        <v>0</v>
      </c>
      <c r="Q112" s="55">
        <v>0.86150000000000004</v>
      </c>
      <c r="R112" s="61">
        <f t="shared" si="3"/>
        <v>38.216140000000003</v>
      </c>
      <c r="S112">
        <f t="shared" si="4"/>
        <v>38.216140000000003</v>
      </c>
      <c r="T112" s="5">
        <f t="shared" si="5"/>
        <v>3.8216140000000004E-5</v>
      </c>
      <c r="AI112" s="83" t="s">
        <v>1011</v>
      </c>
    </row>
    <row r="113" spans="1:35" s="87" customFormat="1" ht="16.8">
      <c r="A113" s="80">
        <v>104</v>
      </c>
      <c r="B113" s="87" t="s">
        <v>315</v>
      </c>
      <c r="C113" s="99">
        <v>46086.8125</v>
      </c>
      <c r="D113" s="87" t="s">
        <v>316</v>
      </c>
      <c r="E113" s="87" t="s">
        <v>336</v>
      </c>
      <c r="F113" s="87" t="s">
        <v>345</v>
      </c>
      <c r="G113" s="88" t="s">
        <v>443</v>
      </c>
      <c r="H113" s="87" t="s">
        <v>347</v>
      </c>
      <c r="I113" s="87" t="s">
        <v>446</v>
      </c>
      <c r="J113" s="87" t="s">
        <v>320</v>
      </c>
      <c r="K113" s="87">
        <v>0.11</v>
      </c>
      <c r="L113" s="87">
        <v>30</v>
      </c>
      <c r="M113" s="87">
        <v>-283.61</v>
      </c>
      <c r="O113" s="80" t="s">
        <v>1008</v>
      </c>
      <c r="P113" s="87">
        <v>-1</v>
      </c>
      <c r="Q113" s="98">
        <v>0.85941999999999996</v>
      </c>
      <c r="R113" s="87">
        <f t="shared" si="3"/>
        <v>-243.74010620000001</v>
      </c>
      <c r="S113" s="87">
        <f t="shared" si="4"/>
        <v>243.74010620000001</v>
      </c>
      <c r="T113" s="5">
        <f t="shared" si="5"/>
        <v>2.4374010620000001E-4</v>
      </c>
      <c r="AI113" s="83" t="s">
        <v>1011</v>
      </c>
    </row>
    <row r="114" spans="1:35" ht="16.8">
      <c r="C114" s="63">
        <v>46087.25</v>
      </c>
      <c r="D114" t="s">
        <v>502</v>
      </c>
      <c r="E114" t="s">
        <v>336</v>
      </c>
      <c r="F114" t="s">
        <v>69</v>
      </c>
      <c r="G114" s="126" t="s">
        <v>451</v>
      </c>
      <c r="H114" t="s">
        <v>433</v>
      </c>
      <c r="J114" t="s">
        <v>319</v>
      </c>
      <c r="K114">
        <v>0.4</v>
      </c>
      <c r="L114">
        <v>815</v>
      </c>
      <c r="M114">
        <v>280.85000000000002</v>
      </c>
      <c r="O114" t="s">
        <v>1009</v>
      </c>
      <c r="P114">
        <v>0</v>
      </c>
      <c r="Q114" s="55">
        <v>0.86150000000000004</v>
      </c>
      <c r="R114" s="61">
        <f t="shared" ref="R114:R116" si="6">M114*Q114</f>
        <v>241.95227500000004</v>
      </c>
      <c r="S114">
        <f t="shared" ref="S114:S116" si="7">ABS(R114)</f>
        <v>241.95227500000004</v>
      </c>
      <c r="T114" s="5">
        <f t="shared" si="5"/>
        <v>2.4195227500000004E-4</v>
      </c>
      <c r="AI114" s="83" t="s">
        <v>1011</v>
      </c>
    </row>
    <row r="115" spans="1:35" ht="16.8">
      <c r="C115" s="63">
        <v>46087.25</v>
      </c>
      <c r="D115" t="s">
        <v>502</v>
      </c>
      <c r="E115" t="s">
        <v>336</v>
      </c>
      <c r="F115" t="s">
        <v>69</v>
      </c>
      <c r="G115" s="2" t="s">
        <v>494</v>
      </c>
      <c r="H115" t="s">
        <v>433</v>
      </c>
      <c r="J115" t="s">
        <v>319</v>
      </c>
      <c r="K115">
        <v>0.31</v>
      </c>
      <c r="L115">
        <v>134</v>
      </c>
      <c r="M115">
        <v>35.79</v>
      </c>
      <c r="O115" t="s">
        <v>1009</v>
      </c>
      <c r="P115">
        <v>0</v>
      </c>
      <c r="Q115" s="55">
        <v>0.86150000000000004</v>
      </c>
      <c r="R115" s="61">
        <f t="shared" si="6"/>
        <v>30.833085000000001</v>
      </c>
      <c r="S115">
        <f t="shared" si="7"/>
        <v>30.833085000000001</v>
      </c>
      <c r="T115" s="5">
        <f t="shared" si="5"/>
        <v>3.0833085E-5</v>
      </c>
      <c r="X115" t="s">
        <v>506</v>
      </c>
      <c r="Y115" t="s">
        <v>507</v>
      </c>
      <c r="AI115" s="83" t="s">
        <v>1011</v>
      </c>
    </row>
    <row r="116" spans="1:35" ht="16.8">
      <c r="A116" s="80">
        <v>105</v>
      </c>
      <c r="B116" t="s">
        <v>315</v>
      </c>
      <c r="C116" s="63">
        <v>46087.768055555556</v>
      </c>
      <c r="D116" t="s">
        <v>316</v>
      </c>
      <c r="E116" t="s">
        <v>336</v>
      </c>
      <c r="F116" t="s">
        <v>69</v>
      </c>
      <c r="G116" s="2" t="s">
        <v>493</v>
      </c>
      <c r="H116" t="s">
        <v>433</v>
      </c>
      <c r="J116" t="s">
        <v>320</v>
      </c>
      <c r="K116">
        <v>91.76</v>
      </c>
      <c r="L116">
        <v>-30</v>
      </c>
      <c r="M116">
        <v>2371.5300000000002</v>
      </c>
      <c r="O116" t="s">
        <v>1009</v>
      </c>
      <c r="P116">
        <v>-1</v>
      </c>
      <c r="Q116" s="55">
        <v>0.86150000000000004</v>
      </c>
      <c r="R116" s="61">
        <f t="shared" si="6"/>
        <v>2043.0730950000002</v>
      </c>
      <c r="S116">
        <f t="shared" si="7"/>
        <v>2043.0730950000002</v>
      </c>
      <c r="T116" s="5">
        <f t="shared" si="5"/>
        <v>2.0430730950000003E-3</v>
      </c>
      <c r="X116" t="s">
        <v>508</v>
      </c>
      <c r="Y116" t="s">
        <v>509</v>
      </c>
      <c r="AI116" s="83" t="s">
        <v>1011</v>
      </c>
    </row>
    <row r="117" spans="1:35" ht="16.8">
      <c r="A117" s="80">
        <v>106</v>
      </c>
      <c r="B117" t="s">
        <v>315</v>
      </c>
      <c r="C117" s="63">
        <v>46087.768055555556</v>
      </c>
      <c r="D117" t="s">
        <v>316</v>
      </c>
      <c r="E117" t="s">
        <v>336</v>
      </c>
      <c r="F117" t="s">
        <v>69</v>
      </c>
      <c r="G117" s="126" t="s">
        <v>468</v>
      </c>
      <c r="H117" t="s">
        <v>433</v>
      </c>
      <c r="J117" t="s">
        <v>320</v>
      </c>
      <c r="K117">
        <v>80.63</v>
      </c>
      <c r="L117">
        <v>-64</v>
      </c>
      <c r="M117">
        <v>4445.6000000000004</v>
      </c>
      <c r="O117" t="s">
        <v>1009</v>
      </c>
      <c r="P117">
        <v>-1</v>
      </c>
      <c r="Q117" s="55">
        <v>0.86150000000000004</v>
      </c>
      <c r="R117" s="61">
        <f>M117*Q117</f>
        <v>3829.8844000000004</v>
      </c>
      <c r="S117">
        <f>ABS(R117)</f>
        <v>3829.8844000000004</v>
      </c>
      <c r="T117" s="5">
        <f t="shared" si="5"/>
        <v>3.8298844000000005E-3</v>
      </c>
    </row>
    <row r="118" spans="1:35" s="80" customFormat="1" ht="16.8">
      <c r="A118" s="80">
        <v>107</v>
      </c>
      <c r="B118" s="80" t="s">
        <v>315</v>
      </c>
      <c r="C118" s="101">
        <v>46088.011111111111</v>
      </c>
      <c r="D118" s="80" t="s">
        <v>316</v>
      </c>
      <c r="E118" s="80" t="s">
        <v>336</v>
      </c>
      <c r="F118" s="80" t="s">
        <v>345</v>
      </c>
      <c r="G118" s="67" t="s">
        <v>443</v>
      </c>
      <c r="H118" s="80" t="s">
        <v>347</v>
      </c>
      <c r="I118" s="80" t="s">
        <v>14</v>
      </c>
      <c r="J118" s="80" t="s">
        <v>320</v>
      </c>
      <c r="K118" s="80">
        <v>0</v>
      </c>
      <c r="L118" s="80">
        <v>-30</v>
      </c>
      <c r="M118" s="80">
        <v>0</v>
      </c>
      <c r="O118" s="80" t="s">
        <v>1008</v>
      </c>
      <c r="Q118" s="100">
        <v>0.86121999999999999</v>
      </c>
      <c r="R118" s="80">
        <f>M118*Q118</f>
        <v>0</v>
      </c>
      <c r="S118" s="80">
        <f>ABS(R118)</f>
        <v>0</v>
      </c>
      <c r="T118" s="5">
        <f t="shared" si="5"/>
        <v>0</v>
      </c>
    </row>
    <row r="119" spans="1:35" ht="16.8">
      <c r="C119" s="63">
        <v>46090.208333333336</v>
      </c>
      <c r="D119" t="s">
        <v>502</v>
      </c>
      <c r="E119" t="s">
        <v>321</v>
      </c>
      <c r="F119" t="s">
        <v>69</v>
      </c>
      <c r="G119" s="126" t="s">
        <v>473</v>
      </c>
      <c r="H119" t="s">
        <v>433</v>
      </c>
      <c r="J119" t="s">
        <v>319</v>
      </c>
      <c r="K119">
        <v>0.21</v>
      </c>
      <c r="L119">
        <v>17</v>
      </c>
      <c r="M119">
        <v>3.1</v>
      </c>
      <c r="O119" t="s">
        <v>1009</v>
      </c>
      <c r="P119">
        <v>-1</v>
      </c>
      <c r="Q119" s="55">
        <v>0.86521000000000003</v>
      </c>
      <c r="R119" s="61">
        <f t="shared" ref="R119:R165" si="8">M119*Q119</f>
        <v>2.6821510000000002</v>
      </c>
      <c r="S119">
        <f t="shared" ref="S119:S165" si="9">ABS(R119)</f>
        <v>2.6821510000000002</v>
      </c>
      <c r="T119" s="5">
        <f t="shared" si="5"/>
        <v>2.682151E-6</v>
      </c>
    </row>
    <row r="120" spans="1:35" ht="16.8">
      <c r="A120" s="80">
        <v>108</v>
      </c>
      <c r="B120" t="s">
        <v>375</v>
      </c>
      <c r="C120" s="63">
        <v>46091.760416666664</v>
      </c>
      <c r="D120" t="s">
        <v>316</v>
      </c>
      <c r="E120" t="s">
        <v>336</v>
      </c>
      <c r="F120" t="s">
        <v>322</v>
      </c>
      <c r="G120" s="2" t="s">
        <v>510</v>
      </c>
      <c r="H120" t="s">
        <v>77</v>
      </c>
      <c r="J120" t="s">
        <v>319</v>
      </c>
      <c r="K120">
        <v>88.35</v>
      </c>
      <c r="L120">
        <v>112.82859999999999</v>
      </c>
      <c r="M120">
        <v>-8559.73</v>
      </c>
      <c r="P120">
        <v>-1</v>
      </c>
      <c r="Q120" s="55">
        <v>0.85868999999999995</v>
      </c>
      <c r="R120" s="61">
        <f>M120*Q120</f>
        <v>-7350.1545536999993</v>
      </c>
      <c r="S120">
        <f>ABS(R120)</f>
        <v>7350.1545536999993</v>
      </c>
      <c r="T120" s="5">
        <f t="shared" si="5"/>
        <v>7.3501545536999993E-3</v>
      </c>
    </row>
    <row r="121" spans="1:35" ht="16.8">
      <c r="A121" s="80">
        <v>109</v>
      </c>
      <c r="B121" t="s">
        <v>375</v>
      </c>
      <c r="C121" s="63">
        <v>46091.760416666664</v>
      </c>
      <c r="D121" t="s">
        <v>316</v>
      </c>
      <c r="E121" t="s">
        <v>336</v>
      </c>
      <c r="F121" t="s">
        <v>322</v>
      </c>
      <c r="G121" s="2" t="s">
        <v>511</v>
      </c>
      <c r="H121" t="s">
        <v>77</v>
      </c>
      <c r="J121" t="s">
        <v>319</v>
      </c>
      <c r="K121">
        <v>1.5660000000000001</v>
      </c>
      <c r="L121" s="55">
        <v>6385.6959999999999</v>
      </c>
      <c r="M121" s="90">
        <v>-8586.86</v>
      </c>
      <c r="P121">
        <v>-1</v>
      </c>
      <c r="Q121" s="55">
        <v>0.85868999999999995</v>
      </c>
      <c r="R121" s="61">
        <f>M121*Q121</f>
        <v>-7373.4508133999998</v>
      </c>
      <c r="S121">
        <f>ABS(R121)</f>
        <v>7373.4508133999998</v>
      </c>
      <c r="T121" s="5">
        <f t="shared" si="5"/>
        <v>7.3734508133999994E-3</v>
      </c>
    </row>
    <row r="122" spans="1:35" ht="16.8">
      <c r="A122" s="80">
        <v>110</v>
      </c>
      <c r="B122" t="s">
        <v>375</v>
      </c>
      <c r="C122" s="63">
        <v>46091.760416666664</v>
      </c>
      <c r="D122" t="s">
        <v>316</v>
      </c>
      <c r="E122" t="s">
        <v>336</v>
      </c>
      <c r="F122" t="s">
        <v>322</v>
      </c>
      <c r="G122" s="2" t="s">
        <v>512</v>
      </c>
      <c r="H122" t="s">
        <v>77</v>
      </c>
      <c r="J122" t="s">
        <v>319</v>
      </c>
      <c r="K122">
        <v>0.15490000000000001</v>
      </c>
      <c r="L122">
        <v>38885.288399999998</v>
      </c>
      <c r="M122">
        <v>-5172.1499999999996</v>
      </c>
      <c r="P122">
        <v>-1</v>
      </c>
      <c r="Q122" s="55">
        <v>0.85868999999999995</v>
      </c>
      <c r="R122" s="61">
        <f>M122*Q122</f>
        <v>-4441.2734834999992</v>
      </c>
      <c r="S122">
        <f>ABS(R122)</f>
        <v>4441.2734834999992</v>
      </c>
      <c r="T122" s="5">
        <f t="shared" si="5"/>
        <v>4.4412734834999995E-3</v>
      </c>
    </row>
    <row r="123" spans="1:35" ht="16.8">
      <c r="A123" s="80">
        <v>111</v>
      </c>
      <c r="B123" t="s">
        <v>375</v>
      </c>
      <c r="C123" s="63">
        <v>46091.760416666664</v>
      </c>
      <c r="D123" t="s">
        <v>316</v>
      </c>
      <c r="E123" t="s">
        <v>336</v>
      </c>
      <c r="F123" t="s">
        <v>322</v>
      </c>
      <c r="G123" s="2" t="s">
        <v>513</v>
      </c>
      <c r="H123" t="s">
        <v>77</v>
      </c>
      <c r="J123" t="s">
        <v>319</v>
      </c>
      <c r="K123">
        <v>3.9249999999999998</v>
      </c>
      <c r="L123">
        <v>1273.8853999999999</v>
      </c>
      <c r="M123">
        <v>-4293.43</v>
      </c>
      <c r="P123">
        <v>-1</v>
      </c>
      <c r="Q123" s="55">
        <v>0.85868999999999995</v>
      </c>
      <c r="R123" s="61">
        <f>M123*Q123</f>
        <v>-3686.7254066999999</v>
      </c>
      <c r="S123">
        <f>ABS(R123)</f>
        <v>3686.7254066999999</v>
      </c>
      <c r="T123" s="5">
        <f t="shared" si="5"/>
        <v>3.6867254066999997E-3</v>
      </c>
    </row>
    <row r="124" spans="1:35" ht="16.8">
      <c r="A124" s="80">
        <v>112</v>
      </c>
      <c r="B124" t="s">
        <v>375</v>
      </c>
      <c r="C124" s="63">
        <v>46091.760416666664</v>
      </c>
      <c r="D124" t="s">
        <v>316</v>
      </c>
      <c r="E124" t="s">
        <v>336</v>
      </c>
      <c r="F124" t="s">
        <v>322</v>
      </c>
      <c r="G124" s="2" t="s">
        <v>514</v>
      </c>
      <c r="H124" t="s">
        <v>77</v>
      </c>
      <c r="J124" t="s">
        <v>319</v>
      </c>
      <c r="K124">
        <v>9.16</v>
      </c>
      <c r="L124">
        <v>436.44299999999998</v>
      </c>
      <c r="M124">
        <v>-3433.25</v>
      </c>
      <c r="P124">
        <v>-1</v>
      </c>
      <c r="Q124" s="55">
        <v>0.85868999999999995</v>
      </c>
      <c r="R124" s="61">
        <f t="shared" si="8"/>
        <v>-2948.0974424999999</v>
      </c>
      <c r="S124">
        <f t="shared" si="9"/>
        <v>2948.0974424999999</v>
      </c>
      <c r="T124" s="5">
        <f t="shared" si="5"/>
        <v>2.9480974425E-3</v>
      </c>
    </row>
    <row r="125" spans="1:35" ht="16.8">
      <c r="A125" s="80">
        <v>113</v>
      </c>
      <c r="B125" t="s">
        <v>375</v>
      </c>
      <c r="C125" s="63">
        <v>46091.760416666664</v>
      </c>
      <c r="D125" t="s">
        <v>316</v>
      </c>
      <c r="E125" t="s">
        <v>336</v>
      </c>
      <c r="F125" t="s">
        <v>322</v>
      </c>
      <c r="G125" s="2" t="s">
        <v>515</v>
      </c>
      <c r="H125" t="s">
        <v>77</v>
      </c>
      <c r="J125" t="s">
        <v>319</v>
      </c>
      <c r="K125">
        <v>0.123</v>
      </c>
      <c r="L125">
        <v>40650.406499999997</v>
      </c>
      <c r="M125">
        <v>-4293.43</v>
      </c>
      <c r="P125">
        <v>-1</v>
      </c>
      <c r="Q125" s="55">
        <v>0.85868999999999995</v>
      </c>
      <c r="R125" s="61">
        <f t="shared" si="8"/>
        <v>-3686.7254066999999</v>
      </c>
      <c r="S125">
        <f t="shared" si="9"/>
        <v>3686.7254066999999</v>
      </c>
      <c r="T125" s="5">
        <f t="shared" si="5"/>
        <v>3.6867254066999997E-3</v>
      </c>
    </row>
    <row r="126" spans="1:35" s="80" customFormat="1" ht="16.8">
      <c r="A126" s="80">
        <v>114</v>
      </c>
      <c r="B126" s="80" t="s">
        <v>315</v>
      </c>
      <c r="C126" s="101">
        <v>46092.74722222222</v>
      </c>
      <c r="D126" s="80" t="s">
        <v>316</v>
      </c>
      <c r="E126" s="80" t="s">
        <v>336</v>
      </c>
      <c r="F126" s="80" t="s">
        <v>345</v>
      </c>
      <c r="G126" s="67" t="s">
        <v>443</v>
      </c>
      <c r="H126" s="80" t="s">
        <v>347</v>
      </c>
      <c r="I126" s="80" t="s">
        <v>446</v>
      </c>
      <c r="J126" s="80" t="s">
        <v>320</v>
      </c>
      <c r="K126" s="80">
        <v>0.15</v>
      </c>
      <c r="L126" s="80">
        <v>25</v>
      </c>
      <c r="M126" s="80">
        <v>-322.98</v>
      </c>
      <c r="O126" s="80" t="s">
        <v>1008</v>
      </c>
      <c r="P126" s="80">
        <v>-1</v>
      </c>
      <c r="Q126" s="100">
        <v>0.86129</v>
      </c>
      <c r="R126" s="80">
        <f t="shared" si="8"/>
        <v>-278.17944420000003</v>
      </c>
      <c r="S126" s="80">
        <f t="shared" si="9"/>
        <v>278.17944420000003</v>
      </c>
      <c r="T126" s="5">
        <f t="shared" si="5"/>
        <v>2.7817944420000006E-4</v>
      </c>
    </row>
    <row r="127" spans="1:35" ht="16.8">
      <c r="C127" s="63">
        <v>46094.208333333336</v>
      </c>
      <c r="D127" t="s">
        <v>502</v>
      </c>
      <c r="E127" t="s">
        <v>321</v>
      </c>
      <c r="F127" t="s">
        <v>69</v>
      </c>
      <c r="G127" s="126" t="s">
        <v>452</v>
      </c>
      <c r="H127" t="s">
        <v>433</v>
      </c>
      <c r="J127" t="s">
        <v>319</v>
      </c>
      <c r="K127">
        <v>0.59250000000000003</v>
      </c>
      <c r="L127">
        <v>160</v>
      </c>
      <c r="M127">
        <v>82.33</v>
      </c>
      <c r="P127">
        <v>-1</v>
      </c>
      <c r="Q127" s="55">
        <v>0.86521000000000003</v>
      </c>
      <c r="R127" s="61">
        <f t="shared" si="8"/>
        <v>71.232739300000006</v>
      </c>
      <c r="S127">
        <f t="shared" si="9"/>
        <v>71.232739300000006</v>
      </c>
      <c r="T127" s="5">
        <f t="shared" si="5"/>
        <v>7.1232739300000001E-5</v>
      </c>
    </row>
    <row r="128" spans="1:35" ht="33.6">
      <c r="A128" s="80">
        <v>115</v>
      </c>
      <c r="B128" t="s">
        <v>315</v>
      </c>
      <c r="C128" s="63">
        <v>46094.768750000003</v>
      </c>
      <c r="D128" t="s">
        <v>316</v>
      </c>
      <c r="E128" t="s">
        <v>336</v>
      </c>
      <c r="F128" t="s">
        <v>69</v>
      </c>
      <c r="G128" s="127" t="s">
        <v>456</v>
      </c>
      <c r="H128" t="s">
        <v>433</v>
      </c>
      <c r="J128" t="s">
        <v>320</v>
      </c>
      <c r="K128">
        <v>28.28</v>
      </c>
      <c r="L128">
        <v>-336</v>
      </c>
      <c r="M128">
        <v>8251.91</v>
      </c>
      <c r="P128">
        <v>-1</v>
      </c>
      <c r="Q128" s="55">
        <v>0.86843000000000004</v>
      </c>
      <c r="R128" s="61">
        <f t="shared" si="8"/>
        <v>7166.2062013000004</v>
      </c>
      <c r="S128">
        <f>ABS(R128)</f>
        <v>7166.2062013000004</v>
      </c>
      <c r="T128" s="5">
        <f t="shared" si="5"/>
        <v>7.1662062013000006E-3</v>
      </c>
    </row>
    <row r="129" spans="1:20" ht="16.8">
      <c r="A129" s="80">
        <v>116</v>
      </c>
      <c r="B129" t="s">
        <v>315</v>
      </c>
      <c r="C129" s="63">
        <v>46094.768750000003</v>
      </c>
      <c r="D129" t="s">
        <v>316</v>
      </c>
      <c r="E129" t="s">
        <v>336</v>
      </c>
      <c r="F129" t="s">
        <v>69</v>
      </c>
      <c r="G129" s="126" t="s">
        <v>477</v>
      </c>
      <c r="H129" t="s">
        <v>433</v>
      </c>
      <c r="J129" t="s">
        <v>320</v>
      </c>
      <c r="K129">
        <v>422.52</v>
      </c>
      <c r="L129">
        <v>-5</v>
      </c>
      <c r="M129">
        <v>1834.65</v>
      </c>
      <c r="P129">
        <v>-1</v>
      </c>
      <c r="Q129" s="55">
        <v>0.86843000000000004</v>
      </c>
      <c r="R129" s="61">
        <f t="shared" si="8"/>
        <v>1593.2650995000001</v>
      </c>
      <c r="S129">
        <f>ABS(R129)</f>
        <v>1593.2650995000001</v>
      </c>
      <c r="T129" s="5">
        <f t="shared" si="5"/>
        <v>1.5932650995000002E-3</v>
      </c>
    </row>
    <row r="130" spans="1:20" ht="16.8">
      <c r="C130" s="63">
        <v>46097.208333333336</v>
      </c>
      <c r="D130" t="s">
        <v>502</v>
      </c>
      <c r="E130" t="s">
        <v>321</v>
      </c>
      <c r="F130" t="s">
        <v>69</v>
      </c>
      <c r="G130" s="2" t="s">
        <v>490</v>
      </c>
      <c r="H130" t="s">
        <v>433</v>
      </c>
      <c r="J130" t="s">
        <v>319</v>
      </c>
      <c r="K130">
        <v>1.1599999999999999</v>
      </c>
      <c r="L130">
        <v>1</v>
      </c>
      <c r="M130">
        <v>1.01</v>
      </c>
      <c r="Q130" s="55">
        <v>0.86521000000000003</v>
      </c>
      <c r="R130" s="61">
        <f t="shared" si="8"/>
        <v>0.87386210000000009</v>
      </c>
      <c r="S130">
        <f t="shared" si="9"/>
        <v>0.87386210000000009</v>
      </c>
      <c r="T130" s="5">
        <f t="shared" si="5"/>
        <v>8.7386210000000007E-7</v>
      </c>
    </row>
    <row r="131" spans="1:20" s="80" customFormat="1" ht="16.8">
      <c r="A131" s="80">
        <v>117</v>
      </c>
      <c r="B131" s="80" t="s">
        <v>315</v>
      </c>
      <c r="C131" s="101">
        <v>46094.969444444447</v>
      </c>
      <c r="D131" s="80" t="s">
        <v>316</v>
      </c>
      <c r="E131" s="80" t="s">
        <v>321</v>
      </c>
      <c r="F131" s="80" t="s">
        <v>345</v>
      </c>
      <c r="G131" s="67" t="s">
        <v>443</v>
      </c>
      <c r="H131" s="80" t="s">
        <v>347</v>
      </c>
      <c r="I131" s="80" t="s">
        <v>14</v>
      </c>
      <c r="J131" s="80" t="s">
        <v>320</v>
      </c>
      <c r="K131" s="80">
        <v>0</v>
      </c>
      <c r="L131" s="80">
        <v>-25</v>
      </c>
      <c r="M131" s="80">
        <v>0</v>
      </c>
      <c r="P131" s="80">
        <v>0</v>
      </c>
      <c r="Q131" s="100">
        <v>0.87607999999999997</v>
      </c>
      <c r="R131" s="80">
        <f>M131*Q131</f>
        <v>0</v>
      </c>
      <c r="S131" s="80">
        <f>ABS(R131)</f>
        <v>0</v>
      </c>
      <c r="T131" s="5">
        <f t="shared" si="5"/>
        <v>0</v>
      </c>
    </row>
    <row r="132" spans="1:20" ht="16.8">
      <c r="A132" s="80">
        <v>118</v>
      </c>
      <c r="B132" t="s">
        <v>315</v>
      </c>
      <c r="C132" s="63">
        <v>46097.685416666667</v>
      </c>
      <c r="D132" t="s">
        <v>316</v>
      </c>
      <c r="E132" t="s">
        <v>336</v>
      </c>
      <c r="F132" t="s">
        <v>69</v>
      </c>
      <c r="G132" s="126" t="s">
        <v>470</v>
      </c>
      <c r="H132" t="s">
        <v>433</v>
      </c>
      <c r="J132" t="s">
        <v>320</v>
      </c>
      <c r="K132">
        <v>48.43</v>
      </c>
      <c r="L132">
        <v>-96</v>
      </c>
      <c r="M132">
        <v>4068.04</v>
      </c>
      <c r="P132">
        <v>-1</v>
      </c>
      <c r="Q132" s="55">
        <v>0.87497999999999998</v>
      </c>
      <c r="R132" s="61">
        <f t="shared" si="8"/>
        <v>3559.4536392</v>
      </c>
      <c r="S132">
        <f t="shared" si="9"/>
        <v>3559.4536392</v>
      </c>
      <c r="T132" s="5">
        <f t="shared" si="5"/>
        <v>3.5594536392E-3</v>
      </c>
    </row>
    <row r="133" spans="1:20" ht="16.8">
      <c r="A133" s="80">
        <v>119</v>
      </c>
      <c r="B133" t="s">
        <v>375</v>
      </c>
      <c r="C133" s="63">
        <v>46098.724305555559</v>
      </c>
      <c r="D133" t="s">
        <v>316</v>
      </c>
      <c r="E133" t="s">
        <v>336</v>
      </c>
      <c r="F133" t="s">
        <v>322</v>
      </c>
      <c r="G133" s="2" t="s">
        <v>512</v>
      </c>
      <c r="H133" t="s">
        <v>77</v>
      </c>
      <c r="J133" t="s">
        <v>319</v>
      </c>
      <c r="K133" s="55">
        <v>0.23080000000000001</v>
      </c>
      <c r="L133" s="55">
        <v>59895.833299999998</v>
      </c>
      <c r="M133" s="54">
        <v>-12015.09</v>
      </c>
      <c r="P133">
        <v>-1</v>
      </c>
      <c r="Q133" s="55">
        <v>0.86914999999999998</v>
      </c>
      <c r="R133" s="61">
        <f>M133*Q133</f>
        <v>-10442.915473499999</v>
      </c>
      <c r="S133">
        <f t="shared" si="9"/>
        <v>10442.915473499999</v>
      </c>
      <c r="T133" s="5">
        <f t="shared" si="5"/>
        <v>1.0442915473499998E-2</v>
      </c>
    </row>
    <row r="134" spans="1:20" ht="16.8">
      <c r="A134" s="80">
        <v>120</v>
      </c>
      <c r="B134" t="s">
        <v>375</v>
      </c>
      <c r="C134" s="63">
        <v>46098.724305555559</v>
      </c>
      <c r="D134" t="s">
        <v>316</v>
      </c>
      <c r="E134" t="s">
        <v>336</v>
      </c>
      <c r="F134" t="s">
        <v>322</v>
      </c>
      <c r="G134" s="2" t="s">
        <v>510</v>
      </c>
      <c r="H134" t="s">
        <v>77</v>
      </c>
      <c r="J134" t="s">
        <v>319</v>
      </c>
      <c r="K134" s="55">
        <v>94.7</v>
      </c>
      <c r="L134" s="55">
        <v>121.44889999999999</v>
      </c>
      <c r="M134" s="54">
        <v>-9996.27</v>
      </c>
      <c r="P134">
        <v>-1</v>
      </c>
      <c r="Q134" s="55">
        <v>0.86914999999999998</v>
      </c>
      <c r="R134" s="61">
        <f t="shared" si="8"/>
        <v>-8688.2580705</v>
      </c>
      <c r="S134">
        <f t="shared" si="9"/>
        <v>8688.2580705</v>
      </c>
      <c r="T134" s="5">
        <f t="shared" si="5"/>
        <v>8.6882580705000007E-3</v>
      </c>
    </row>
    <row r="135" spans="1:20" ht="16.8">
      <c r="A135" s="80">
        <v>121</v>
      </c>
      <c r="B135" t="s">
        <v>375</v>
      </c>
      <c r="C135" s="63">
        <v>46098.724305555559</v>
      </c>
      <c r="D135" t="s">
        <v>316</v>
      </c>
      <c r="E135" t="s">
        <v>336</v>
      </c>
      <c r="F135" t="s">
        <v>322</v>
      </c>
      <c r="G135" s="2" t="s">
        <v>511</v>
      </c>
      <c r="H135" t="s">
        <v>77</v>
      </c>
      <c r="J135" t="s">
        <v>319</v>
      </c>
      <c r="K135" s="55">
        <v>1.8</v>
      </c>
      <c r="L135" s="55">
        <v>6388.8888999999999</v>
      </c>
      <c r="M135" s="54">
        <v>-9995.2199999999993</v>
      </c>
      <c r="P135">
        <v>-1</v>
      </c>
      <c r="Q135" s="55">
        <v>0.86914999999999998</v>
      </c>
      <c r="R135" s="61">
        <f t="shared" si="8"/>
        <v>-8687.3454629999997</v>
      </c>
      <c r="S135">
        <f t="shared" si="9"/>
        <v>8687.3454629999997</v>
      </c>
      <c r="T135" s="5">
        <f t="shared" si="5"/>
        <v>8.6873454630000003E-3</v>
      </c>
    </row>
    <row r="136" spans="1:20" ht="16.8">
      <c r="A136" s="80">
        <v>122</v>
      </c>
      <c r="B136" t="s">
        <v>375</v>
      </c>
      <c r="C136" s="63">
        <v>46098.724305555559</v>
      </c>
      <c r="D136" t="s">
        <v>316</v>
      </c>
      <c r="E136" t="s">
        <v>336</v>
      </c>
      <c r="F136" t="s">
        <v>322</v>
      </c>
      <c r="G136" s="2" t="s">
        <v>514</v>
      </c>
      <c r="H136" t="s">
        <v>77</v>
      </c>
      <c r="J136" t="s">
        <v>319</v>
      </c>
      <c r="K136" s="55">
        <v>9.86</v>
      </c>
      <c r="L136" s="55">
        <v>1049.2701</v>
      </c>
      <c r="M136" s="54">
        <v>-8992.0499999999993</v>
      </c>
      <c r="P136">
        <v>-1</v>
      </c>
      <c r="Q136" s="55">
        <v>0.86914999999999998</v>
      </c>
      <c r="R136" s="61">
        <f t="shared" si="8"/>
        <v>-7815.4402574999995</v>
      </c>
      <c r="S136">
        <f t="shared" si="9"/>
        <v>7815.4402574999995</v>
      </c>
      <c r="T136" s="5">
        <f t="shared" ref="T136:T199" si="10">S136/1000000</f>
        <v>7.8154402574999986E-3</v>
      </c>
    </row>
    <row r="137" spans="1:20" ht="16.8">
      <c r="A137" s="80">
        <v>123</v>
      </c>
      <c r="B137" t="s">
        <v>375</v>
      </c>
      <c r="C137" s="63">
        <v>46098.724305555559</v>
      </c>
      <c r="D137" t="s">
        <v>316</v>
      </c>
      <c r="E137" t="s">
        <v>336</v>
      </c>
      <c r="F137" t="s">
        <v>322</v>
      </c>
      <c r="G137" s="2" t="s">
        <v>513</v>
      </c>
      <c r="H137" t="s">
        <v>77</v>
      </c>
      <c r="J137" t="s">
        <v>319</v>
      </c>
      <c r="K137" s="55">
        <v>4.008</v>
      </c>
      <c r="L137" s="55">
        <v>2295.4092000000001</v>
      </c>
      <c r="M137" s="54">
        <v>-7996.18</v>
      </c>
      <c r="P137">
        <v>-1</v>
      </c>
      <c r="Q137" s="55">
        <v>0.86914999999999998</v>
      </c>
      <c r="R137" s="61">
        <f t="shared" si="8"/>
        <v>-6949.8798470000002</v>
      </c>
      <c r="S137">
        <f t="shared" si="9"/>
        <v>6949.8798470000002</v>
      </c>
      <c r="T137" s="5">
        <f t="shared" si="10"/>
        <v>6.9498798470000005E-3</v>
      </c>
    </row>
    <row r="138" spans="1:20" ht="16.8">
      <c r="A138" s="80">
        <v>124</v>
      </c>
      <c r="B138" t="s">
        <v>375</v>
      </c>
      <c r="C138" s="63">
        <v>46098.724305555559</v>
      </c>
      <c r="D138" t="s">
        <v>316</v>
      </c>
      <c r="E138" t="s">
        <v>336</v>
      </c>
      <c r="F138" t="s">
        <v>322</v>
      </c>
      <c r="G138" s="2" t="s">
        <v>515</v>
      </c>
      <c r="H138" t="s">
        <v>77</v>
      </c>
      <c r="J138" t="s">
        <v>319</v>
      </c>
      <c r="K138" s="55">
        <v>0.13600000000000001</v>
      </c>
      <c r="L138" s="55">
        <v>68047.337299999999</v>
      </c>
      <c r="M138" s="54">
        <v>-8043.49</v>
      </c>
      <c r="P138">
        <v>-1</v>
      </c>
      <c r="Q138" s="55">
        <v>0.86914999999999998</v>
      </c>
      <c r="R138" s="61">
        <f t="shared" si="8"/>
        <v>-6990.9993334999999</v>
      </c>
      <c r="S138">
        <f t="shared" si="9"/>
        <v>6990.9993334999999</v>
      </c>
      <c r="T138" s="5">
        <f t="shared" si="10"/>
        <v>6.9909993334999997E-3</v>
      </c>
    </row>
    <row r="139" spans="1:20" ht="16.8">
      <c r="A139" s="80">
        <v>125</v>
      </c>
      <c r="B139" t="s">
        <v>375</v>
      </c>
      <c r="C139" s="63">
        <v>46098.724305555559</v>
      </c>
      <c r="D139" t="s">
        <v>316</v>
      </c>
      <c r="E139" t="s">
        <v>336</v>
      </c>
      <c r="F139" t="s">
        <v>322</v>
      </c>
      <c r="G139" s="2" t="s">
        <v>323</v>
      </c>
      <c r="H139" t="s">
        <v>77</v>
      </c>
      <c r="J139" t="s">
        <v>319</v>
      </c>
      <c r="K139" s="53">
        <v>74320.63</v>
      </c>
      <c r="L139" s="55">
        <v>0.12379999999999999</v>
      </c>
      <c r="M139" s="54">
        <v>-7996.95</v>
      </c>
      <c r="P139">
        <v>-1</v>
      </c>
      <c r="Q139" s="55">
        <v>0.86914999999999998</v>
      </c>
      <c r="R139" s="61">
        <f t="shared" si="8"/>
        <v>-6950.5490924999995</v>
      </c>
      <c r="S139">
        <f t="shared" si="9"/>
        <v>6950.5490924999995</v>
      </c>
      <c r="T139" s="5">
        <f t="shared" si="10"/>
        <v>6.9505490924999993E-3</v>
      </c>
    </row>
    <row r="140" spans="1:20" ht="16.8">
      <c r="A140" s="80">
        <v>126</v>
      </c>
      <c r="B140" t="s">
        <v>375</v>
      </c>
      <c r="C140" s="63">
        <v>46098.724305555559</v>
      </c>
      <c r="D140" t="s">
        <v>316</v>
      </c>
      <c r="E140" t="s">
        <v>336</v>
      </c>
      <c r="F140" t="s">
        <v>69</v>
      </c>
      <c r="G140" s="126" t="s">
        <v>516</v>
      </c>
      <c r="H140" t="s">
        <v>433</v>
      </c>
      <c r="J140" t="s">
        <v>319</v>
      </c>
      <c r="K140" s="55">
        <v>203.41</v>
      </c>
      <c r="L140" s="55">
        <v>20</v>
      </c>
      <c r="M140" s="54">
        <v>-3535.87</v>
      </c>
      <c r="P140">
        <v>-1</v>
      </c>
      <c r="Q140" s="55">
        <v>0.86914999999999998</v>
      </c>
      <c r="R140" s="61">
        <f t="shared" si="8"/>
        <v>-3073.2014104999998</v>
      </c>
      <c r="S140">
        <f t="shared" si="9"/>
        <v>3073.2014104999998</v>
      </c>
      <c r="T140" s="5">
        <f t="shared" si="10"/>
        <v>3.0732014104999997E-3</v>
      </c>
    </row>
    <row r="141" spans="1:20" ht="33.6">
      <c r="A141" s="80">
        <v>127</v>
      </c>
      <c r="B141" t="s">
        <v>375</v>
      </c>
      <c r="C141" s="63">
        <v>46098.724305555559</v>
      </c>
      <c r="D141" t="s">
        <v>316</v>
      </c>
      <c r="E141" t="s">
        <v>336</v>
      </c>
      <c r="F141" t="s">
        <v>69</v>
      </c>
      <c r="G141" s="127" t="s">
        <v>517</v>
      </c>
      <c r="H141" t="s">
        <v>433</v>
      </c>
      <c r="J141" t="s">
        <v>319</v>
      </c>
      <c r="K141" s="55">
        <v>309.88</v>
      </c>
      <c r="L141" s="55">
        <v>11</v>
      </c>
      <c r="M141" s="91">
        <v>-2962.65</v>
      </c>
      <c r="P141">
        <v>-1</v>
      </c>
      <c r="Q141" s="55">
        <v>0.86914999999999998</v>
      </c>
      <c r="R141" s="61">
        <f>M141*Q141</f>
        <v>-2574.9872475000002</v>
      </c>
      <c r="S141">
        <f t="shared" si="9"/>
        <v>2574.9872475000002</v>
      </c>
      <c r="T141" s="5">
        <f t="shared" si="10"/>
        <v>2.5749872475E-3</v>
      </c>
    </row>
    <row r="142" spans="1:20" ht="16.8">
      <c r="A142" s="80">
        <v>128</v>
      </c>
      <c r="B142" t="s">
        <v>375</v>
      </c>
      <c r="C142" s="63">
        <v>46098.724305555559</v>
      </c>
      <c r="D142" t="s">
        <v>316</v>
      </c>
      <c r="E142" t="s">
        <v>336</v>
      </c>
      <c r="F142" t="s">
        <v>69</v>
      </c>
      <c r="G142" s="126" t="s">
        <v>518</v>
      </c>
      <c r="H142" t="s">
        <v>433</v>
      </c>
      <c r="J142" t="s">
        <v>319</v>
      </c>
      <c r="K142" s="55">
        <v>493.19</v>
      </c>
      <c r="L142" s="55">
        <v>5</v>
      </c>
      <c r="M142" s="54">
        <v>-2143.2800000000002</v>
      </c>
      <c r="P142">
        <v>-1</v>
      </c>
      <c r="Q142" s="55">
        <v>0.86914999999999998</v>
      </c>
      <c r="R142" s="61">
        <f t="shared" si="8"/>
        <v>-1862.8318120000001</v>
      </c>
      <c r="S142">
        <f t="shared" si="9"/>
        <v>1862.8318120000001</v>
      </c>
      <c r="T142" s="5">
        <f t="shared" si="10"/>
        <v>1.8628318120000001E-3</v>
      </c>
    </row>
    <row r="143" spans="1:20" ht="33.6">
      <c r="A143" s="80">
        <v>129</v>
      </c>
      <c r="B143" t="s">
        <v>375</v>
      </c>
      <c r="C143" s="63">
        <v>46098.724305555559</v>
      </c>
      <c r="D143" t="s">
        <v>316</v>
      </c>
      <c r="E143" t="s">
        <v>336</v>
      </c>
      <c r="F143" t="s">
        <v>69</v>
      </c>
      <c r="G143" s="127" t="s">
        <v>519</v>
      </c>
      <c r="H143" t="s">
        <v>433</v>
      </c>
      <c r="J143" t="s">
        <v>319</v>
      </c>
      <c r="K143" s="55">
        <v>57.89</v>
      </c>
      <c r="L143">
        <v>30</v>
      </c>
      <c r="M143" s="54">
        <v>-1509.45</v>
      </c>
      <c r="P143">
        <v>-1</v>
      </c>
      <c r="Q143" s="55">
        <v>0.86914999999999998</v>
      </c>
      <c r="R143" s="61">
        <f t="shared" si="8"/>
        <v>-1311.9384675000001</v>
      </c>
      <c r="S143">
        <f t="shared" si="9"/>
        <v>1311.9384675000001</v>
      </c>
      <c r="T143" s="5">
        <f t="shared" si="10"/>
        <v>1.3119384675000002E-3</v>
      </c>
    </row>
    <row r="144" spans="1:20" ht="16.8">
      <c r="A144" s="80">
        <v>130</v>
      </c>
      <c r="B144" t="s">
        <v>375</v>
      </c>
      <c r="C144" s="63">
        <v>46098.724305555559</v>
      </c>
      <c r="D144" t="s">
        <v>316</v>
      </c>
      <c r="E144" t="s">
        <v>336</v>
      </c>
      <c r="F144" t="s">
        <v>322</v>
      </c>
      <c r="G144" s="2" t="s">
        <v>512</v>
      </c>
      <c r="H144" t="s">
        <v>77</v>
      </c>
      <c r="J144" t="s">
        <v>320</v>
      </c>
      <c r="K144" s="55">
        <v>0.23949999999999999</v>
      </c>
      <c r="L144">
        <v>-98781.121700000003</v>
      </c>
      <c r="M144" s="53">
        <v>20562.41</v>
      </c>
      <c r="P144">
        <v>-1</v>
      </c>
      <c r="Q144" s="55">
        <v>0.86914999999999998</v>
      </c>
      <c r="R144" s="61">
        <f t="shared" si="8"/>
        <v>17871.818651499998</v>
      </c>
      <c r="S144">
        <f t="shared" si="9"/>
        <v>17871.818651499998</v>
      </c>
      <c r="T144" s="5">
        <f t="shared" si="10"/>
        <v>1.7871818651499997E-2</v>
      </c>
    </row>
    <row r="145" spans="1:20" ht="16.8">
      <c r="A145" s="80">
        <v>131</v>
      </c>
      <c r="B145" t="s">
        <v>375</v>
      </c>
      <c r="C145" s="63">
        <v>46099.001388888886</v>
      </c>
      <c r="D145" t="s">
        <v>316</v>
      </c>
      <c r="E145" t="s">
        <v>321</v>
      </c>
      <c r="F145" t="s">
        <v>322</v>
      </c>
      <c r="G145" s="2" t="s">
        <v>511</v>
      </c>
      <c r="H145" t="s">
        <v>77</v>
      </c>
      <c r="J145" t="s">
        <v>320</v>
      </c>
      <c r="K145" s="55">
        <v>1.8</v>
      </c>
      <c r="L145">
        <v>-12774.5849</v>
      </c>
      <c r="M145" s="53">
        <v>19920.34</v>
      </c>
      <c r="P145">
        <v>-1</v>
      </c>
      <c r="Q145" s="55">
        <v>0.86914999999999998</v>
      </c>
      <c r="R145" s="61">
        <f t="shared" si="8"/>
        <v>17313.763511000001</v>
      </c>
      <c r="S145">
        <f t="shared" si="9"/>
        <v>17313.763511000001</v>
      </c>
      <c r="T145" s="5">
        <f t="shared" si="10"/>
        <v>1.7313763511000002E-2</v>
      </c>
    </row>
    <row r="146" spans="1:20" ht="16.8">
      <c r="A146" s="80">
        <v>132</v>
      </c>
      <c r="B146" t="s">
        <v>359</v>
      </c>
      <c r="C146" s="63">
        <v>46099.001388888886</v>
      </c>
      <c r="D146" t="s">
        <v>316</v>
      </c>
      <c r="E146" t="s">
        <v>321</v>
      </c>
      <c r="F146" t="s">
        <v>317</v>
      </c>
      <c r="G146" s="2" t="s">
        <v>360</v>
      </c>
      <c r="H146" t="s">
        <v>25</v>
      </c>
      <c r="J146" t="s">
        <v>320</v>
      </c>
      <c r="K146" s="55">
        <v>1.33568</v>
      </c>
      <c r="L146">
        <v>-34000</v>
      </c>
      <c r="M146" s="54">
        <v>-1409.12</v>
      </c>
      <c r="P146">
        <v>-1</v>
      </c>
      <c r="Q146" s="55">
        <v>0.86631999999999998</v>
      </c>
      <c r="R146" s="61">
        <f>M146*Q146</f>
        <v>-1220.7488383999998</v>
      </c>
      <c r="S146">
        <f t="shared" si="9"/>
        <v>1220.7488383999998</v>
      </c>
      <c r="T146" s="5">
        <f t="shared" si="10"/>
        <v>1.2207488383999998E-3</v>
      </c>
    </row>
    <row r="147" spans="1:20" ht="16.8">
      <c r="A147" s="80">
        <v>133</v>
      </c>
      <c r="B147" t="s">
        <v>359</v>
      </c>
      <c r="C147" s="63">
        <v>46099.001388888886</v>
      </c>
      <c r="D147" t="s">
        <v>316</v>
      </c>
      <c r="E147" t="s">
        <v>321</v>
      </c>
      <c r="F147" t="s">
        <v>317</v>
      </c>
      <c r="G147" s="2" t="s">
        <v>318</v>
      </c>
      <c r="H147" t="s">
        <v>25</v>
      </c>
      <c r="J147" t="s">
        <v>320</v>
      </c>
      <c r="K147" s="55">
        <v>1.1537900000000001</v>
      </c>
      <c r="L147">
        <v>-42000</v>
      </c>
      <c r="M147" s="54">
        <v>-1799.26</v>
      </c>
      <c r="P147">
        <v>-1</v>
      </c>
      <c r="Q147" s="55">
        <v>0.86631999999999998</v>
      </c>
      <c r="R147" s="61">
        <f t="shared" si="8"/>
        <v>-1558.7349231999999</v>
      </c>
      <c r="S147">
        <f t="shared" si="9"/>
        <v>1558.7349231999999</v>
      </c>
      <c r="T147" s="5">
        <f t="shared" si="10"/>
        <v>1.5587349231999999E-3</v>
      </c>
    </row>
    <row r="148" spans="1:20" ht="16.8">
      <c r="A148" s="80">
        <v>134</v>
      </c>
      <c r="B148" t="s">
        <v>375</v>
      </c>
      <c r="C148" s="63">
        <v>46099.001388888886</v>
      </c>
      <c r="D148" t="s">
        <v>316</v>
      </c>
      <c r="E148" t="s">
        <v>321</v>
      </c>
      <c r="F148" t="s">
        <v>520</v>
      </c>
      <c r="G148" s="126" t="s">
        <v>521</v>
      </c>
      <c r="H148" t="s">
        <v>361</v>
      </c>
      <c r="J148" t="s">
        <v>319</v>
      </c>
      <c r="K148" s="55">
        <v>95.6</v>
      </c>
      <c r="L148" s="55">
        <v>10</v>
      </c>
      <c r="M148">
        <v>0</v>
      </c>
      <c r="P148">
        <v>-1</v>
      </c>
      <c r="Q148" s="55">
        <v>0.86631999999999998</v>
      </c>
      <c r="R148" s="61">
        <f>M148*Q148</f>
        <v>0</v>
      </c>
      <c r="S148">
        <f>ABS(R148)</f>
        <v>0</v>
      </c>
      <c r="T148" s="5">
        <f t="shared" si="10"/>
        <v>0</v>
      </c>
    </row>
    <row r="149" spans="1:20" ht="16.8">
      <c r="A149" s="80">
        <v>135</v>
      </c>
      <c r="B149" t="s">
        <v>315</v>
      </c>
      <c r="C149" s="63">
        <v>46099.604166666664</v>
      </c>
      <c r="D149" t="s">
        <v>316</v>
      </c>
      <c r="E149" t="s">
        <v>336</v>
      </c>
      <c r="F149" t="s">
        <v>361</v>
      </c>
      <c r="G149" s="2" t="s">
        <v>38</v>
      </c>
      <c r="H149" t="s">
        <v>361</v>
      </c>
      <c r="J149" t="s">
        <v>320</v>
      </c>
      <c r="K149" s="55" t="s">
        <v>522</v>
      </c>
      <c r="L149">
        <v>-7</v>
      </c>
      <c r="M149" s="53">
        <v>29463.24</v>
      </c>
      <c r="P149">
        <v>-1</v>
      </c>
      <c r="Q149" s="55">
        <v>0.86631999999999998</v>
      </c>
      <c r="R149" s="61">
        <f t="shared" si="8"/>
        <v>25524.5940768</v>
      </c>
      <c r="S149">
        <f t="shared" si="9"/>
        <v>25524.5940768</v>
      </c>
      <c r="T149" s="5">
        <f t="shared" si="10"/>
        <v>2.5524594076800002E-2</v>
      </c>
    </row>
    <row r="150" spans="1:20" ht="16.8">
      <c r="A150" s="80">
        <v>136</v>
      </c>
      <c r="B150" t="s">
        <v>315</v>
      </c>
      <c r="C150" s="63">
        <v>46099.604166666664</v>
      </c>
      <c r="D150" t="s">
        <v>316</v>
      </c>
      <c r="E150" t="s">
        <v>336</v>
      </c>
      <c r="F150" t="s">
        <v>361</v>
      </c>
      <c r="G150" s="2" t="s">
        <v>523</v>
      </c>
      <c r="H150" t="s">
        <v>361</v>
      </c>
      <c r="J150" t="s">
        <v>320</v>
      </c>
      <c r="K150" s="55" t="s">
        <v>524</v>
      </c>
      <c r="L150">
        <v>-300</v>
      </c>
      <c r="M150" s="53">
        <v>19934.04</v>
      </c>
      <c r="P150">
        <v>-1</v>
      </c>
      <c r="Q150" s="55">
        <v>0.86631999999999998</v>
      </c>
      <c r="R150" s="61">
        <f>M150*Q150</f>
        <v>17269.257532800002</v>
      </c>
      <c r="S150">
        <f>ABS(R150)</f>
        <v>17269.257532800002</v>
      </c>
      <c r="T150" s="5">
        <f t="shared" si="10"/>
        <v>1.7269257532800002E-2</v>
      </c>
    </row>
    <row r="151" spans="1:20" ht="16.8">
      <c r="A151" s="80">
        <v>137</v>
      </c>
      <c r="B151" t="s">
        <v>375</v>
      </c>
      <c r="C151" s="63">
        <v>46099.604166666664</v>
      </c>
      <c r="D151" t="s">
        <v>316</v>
      </c>
      <c r="E151" t="s">
        <v>336</v>
      </c>
      <c r="F151" t="s">
        <v>345</v>
      </c>
      <c r="G151" s="2" t="s">
        <v>10</v>
      </c>
      <c r="H151" t="s">
        <v>347</v>
      </c>
      <c r="I151" s="80" t="s">
        <v>14</v>
      </c>
      <c r="J151" t="s">
        <v>319</v>
      </c>
      <c r="K151" s="55">
        <v>3.13</v>
      </c>
      <c r="L151">
        <v>20</v>
      </c>
      <c r="M151" s="53">
        <v>-5423.15</v>
      </c>
      <c r="P151">
        <v>-1</v>
      </c>
      <c r="Q151" s="55">
        <v>0.86631999999999998</v>
      </c>
      <c r="R151" s="61">
        <f t="shared" si="8"/>
        <v>-4698.1833079999997</v>
      </c>
      <c r="S151">
        <f t="shared" si="9"/>
        <v>4698.1833079999997</v>
      </c>
      <c r="T151" s="5">
        <f t="shared" si="10"/>
        <v>4.6981833079999995E-3</v>
      </c>
    </row>
    <row r="152" spans="1:20" ht="16.8">
      <c r="A152" s="80">
        <v>138</v>
      </c>
      <c r="B152" t="s">
        <v>375</v>
      </c>
      <c r="C152" s="63">
        <v>46099.656944444447</v>
      </c>
      <c r="D152" t="s">
        <v>316</v>
      </c>
      <c r="E152" t="s">
        <v>336</v>
      </c>
      <c r="F152" t="s">
        <v>317</v>
      </c>
      <c r="G152" s="2" t="s">
        <v>525</v>
      </c>
      <c r="H152" t="s">
        <v>25</v>
      </c>
      <c r="J152" t="s">
        <v>319</v>
      </c>
      <c r="K152" s="55">
        <v>159.501</v>
      </c>
      <c r="L152" s="55">
        <v>500000</v>
      </c>
      <c r="M152">
        <v>0</v>
      </c>
      <c r="P152">
        <v>-1</v>
      </c>
      <c r="Q152" s="55">
        <v>5.45E-3</v>
      </c>
      <c r="R152" s="61">
        <f t="shared" si="8"/>
        <v>0</v>
      </c>
      <c r="S152">
        <f t="shared" si="9"/>
        <v>0</v>
      </c>
      <c r="T152" s="5">
        <f t="shared" si="10"/>
        <v>0</v>
      </c>
    </row>
    <row r="153" spans="1:20" ht="16.8">
      <c r="A153" s="80">
        <v>139</v>
      </c>
      <c r="B153" t="s">
        <v>375</v>
      </c>
      <c r="C153" s="63">
        <v>46099.656944444447</v>
      </c>
      <c r="D153" t="s">
        <v>316</v>
      </c>
      <c r="E153" t="s">
        <v>336</v>
      </c>
      <c r="F153" t="s">
        <v>322</v>
      </c>
      <c r="G153" s="2" t="s">
        <v>323</v>
      </c>
      <c r="H153" t="s">
        <v>77</v>
      </c>
      <c r="J153" t="s">
        <v>320</v>
      </c>
      <c r="K153" s="53">
        <v>71549.63</v>
      </c>
      <c r="L153">
        <v>-0.12379999999999999</v>
      </c>
      <c r="M153" s="53">
        <v>7673.71</v>
      </c>
      <c r="P153">
        <v>-1</v>
      </c>
      <c r="Q153" s="55">
        <v>0.86631999999999998</v>
      </c>
      <c r="R153" s="61">
        <f t="shared" si="8"/>
        <v>6647.8884472</v>
      </c>
      <c r="S153">
        <f t="shared" si="9"/>
        <v>6647.8884472</v>
      </c>
      <c r="T153" s="5">
        <f t="shared" si="10"/>
        <v>6.6478884472000004E-3</v>
      </c>
    </row>
    <row r="154" spans="1:20" ht="16.8">
      <c r="A154" s="80">
        <v>140</v>
      </c>
      <c r="B154" t="s">
        <v>375</v>
      </c>
      <c r="C154" s="63">
        <v>46099.656944444447</v>
      </c>
      <c r="D154" t="s">
        <v>316</v>
      </c>
      <c r="E154" t="s">
        <v>336</v>
      </c>
      <c r="F154" t="s">
        <v>322</v>
      </c>
      <c r="G154" s="2" t="s">
        <v>514</v>
      </c>
      <c r="H154" t="s">
        <v>77</v>
      </c>
      <c r="J154" t="s">
        <v>320</v>
      </c>
      <c r="K154" s="55">
        <v>9.2590000000000003</v>
      </c>
      <c r="L154">
        <v>-1485.7130999999999</v>
      </c>
      <c r="M154" s="53">
        <v>11917.26</v>
      </c>
      <c r="P154">
        <v>-1</v>
      </c>
      <c r="Q154" s="55">
        <v>0.86631999999999998</v>
      </c>
      <c r="R154" s="61">
        <f t="shared" si="8"/>
        <v>10324.1606832</v>
      </c>
      <c r="S154">
        <f t="shared" si="9"/>
        <v>10324.1606832</v>
      </c>
      <c r="T154" s="5">
        <f t="shared" si="10"/>
        <v>1.0324160683199999E-2</v>
      </c>
    </row>
    <row r="155" spans="1:20" ht="16.8">
      <c r="A155" s="80">
        <v>141</v>
      </c>
      <c r="B155" t="s">
        <v>375</v>
      </c>
      <c r="C155" s="63">
        <v>46099.656944444447</v>
      </c>
      <c r="D155" t="s">
        <v>316</v>
      </c>
      <c r="E155" t="s">
        <v>336</v>
      </c>
      <c r="F155" t="s">
        <v>322</v>
      </c>
      <c r="G155" s="2" t="s">
        <v>513</v>
      </c>
      <c r="H155" t="s">
        <v>77</v>
      </c>
      <c r="J155" t="s">
        <v>320</v>
      </c>
      <c r="K155" s="55">
        <v>3.6989999999999998</v>
      </c>
      <c r="L155">
        <v>-3569.2946000000002</v>
      </c>
      <c r="M155" s="53">
        <v>11437.85</v>
      </c>
      <c r="P155">
        <v>-1</v>
      </c>
      <c r="Q155" s="55">
        <v>0.86631999999999998</v>
      </c>
      <c r="R155" s="61">
        <f t="shared" si="8"/>
        <v>9908.8382120000006</v>
      </c>
      <c r="S155">
        <f t="shared" si="9"/>
        <v>9908.8382120000006</v>
      </c>
      <c r="T155" s="5">
        <f t="shared" si="10"/>
        <v>9.9088382120000006E-3</v>
      </c>
    </row>
    <row r="156" spans="1:20" ht="16.8">
      <c r="A156" s="80">
        <v>142</v>
      </c>
      <c r="B156" t="s">
        <v>375</v>
      </c>
      <c r="C156" s="63">
        <v>46099.656944444447</v>
      </c>
      <c r="D156" t="s">
        <v>316</v>
      </c>
      <c r="E156" t="s">
        <v>336</v>
      </c>
      <c r="F156" t="s">
        <v>322</v>
      </c>
      <c r="G156" s="2" t="s">
        <v>510</v>
      </c>
      <c r="H156" t="s">
        <v>77</v>
      </c>
      <c r="J156" t="s">
        <v>320</v>
      </c>
      <c r="K156" s="55">
        <v>89.41</v>
      </c>
      <c r="L156">
        <v>-234.2775</v>
      </c>
      <c r="M156" s="53">
        <v>18146.560000000001</v>
      </c>
      <c r="P156">
        <v>-1</v>
      </c>
      <c r="Q156" s="55">
        <v>0.86631999999999998</v>
      </c>
      <c r="R156" s="61">
        <f t="shared" si="8"/>
        <v>15720.7278592</v>
      </c>
      <c r="S156">
        <f t="shared" si="9"/>
        <v>15720.7278592</v>
      </c>
      <c r="T156" s="5">
        <f t="shared" si="10"/>
        <v>1.57207278592E-2</v>
      </c>
    </row>
    <row r="157" spans="1:20" ht="16.8">
      <c r="A157" s="80">
        <v>143</v>
      </c>
      <c r="B157" t="s">
        <v>375</v>
      </c>
      <c r="C157" s="63">
        <v>46099.656944444447</v>
      </c>
      <c r="D157" t="s">
        <v>316</v>
      </c>
      <c r="E157" t="s">
        <v>336</v>
      </c>
      <c r="F157" t="s">
        <v>322</v>
      </c>
      <c r="G157" s="2" t="s">
        <v>515</v>
      </c>
      <c r="H157" t="s">
        <v>77</v>
      </c>
      <c r="J157" t="s">
        <v>320</v>
      </c>
      <c r="K157" s="55">
        <v>0.127</v>
      </c>
      <c r="L157">
        <v>-108697.7438</v>
      </c>
      <c r="M157" s="53">
        <v>11959.19</v>
      </c>
      <c r="P157">
        <v>-1</v>
      </c>
      <c r="Q157" s="55">
        <v>0.86631999999999998</v>
      </c>
      <c r="R157" s="61">
        <f t="shared" si="8"/>
        <v>10360.4854808</v>
      </c>
      <c r="S157">
        <f t="shared" si="9"/>
        <v>10360.4854808</v>
      </c>
      <c r="T157" s="5">
        <f t="shared" si="10"/>
        <v>1.03604854808E-2</v>
      </c>
    </row>
    <row r="158" spans="1:20" ht="16.8">
      <c r="A158" s="80">
        <v>144</v>
      </c>
      <c r="B158" t="s">
        <v>375</v>
      </c>
      <c r="C158" s="63">
        <v>46099.656944444447</v>
      </c>
      <c r="D158" t="s">
        <v>316</v>
      </c>
      <c r="E158" t="s">
        <v>336</v>
      </c>
      <c r="F158" t="s">
        <v>376</v>
      </c>
      <c r="G158" s="67" t="s">
        <v>396</v>
      </c>
      <c r="H158" t="s">
        <v>378</v>
      </c>
      <c r="J158" t="s">
        <v>320</v>
      </c>
      <c r="K158" s="55">
        <v>905.60440000000006</v>
      </c>
      <c r="L158">
        <v>-15</v>
      </c>
      <c r="M158" s="53">
        <v>13603.18</v>
      </c>
      <c r="O158" t="s">
        <v>1006</v>
      </c>
      <c r="P158">
        <v>-1</v>
      </c>
      <c r="Q158">
        <v>1</v>
      </c>
      <c r="R158" s="61">
        <f t="shared" si="8"/>
        <v>13603.18</v>
      </c>
      <c r="S158">
        <f t="shared" si="9"/>
        <v>13603.18</v>
      </c>
      <c r="T158" s="5">
        <f t="shared" si="10"/>
        <v>1.3603179999999999E-2</v>
      </c>
    </row>
    <row r="159" spans="1:20" ht="16.8">
      <c r="A159" s="80">
        <v>145</v>
      </c>
      <c r="B159" t="s">
        <v>375</v>
      </c>
      <c r="C159" s="63">
        <v>46099.656944444447</v>
      </c>
      <c r="D159" t="s">
        <v>316</v>
      </c>
      <c r="E159" t="s">
        <v>336</v>
      </c>
      <c r="F159" t="s">
        <v>376</v>
      </c>
      <c r="G159" s="67" t="s">
        <v>416</v>
      </c>
      <c r="H159" t="s">
        <v>378</v>
      </c>
      <c r="J159" t="s">
        <v>320</v>
      </c>
      <c r="K159" s="53">
        <v>1030</v>
      </c>
      <c r="L159">
        <v>-8</v>
      </c>
      <c r="M159" s="53">
        <v>7297.2</v>
      </c>
      <c r="O159" t="s">
        <v>1006</v>
      </c>
      <c r="P159">
        <v>-1</v>
      </c>
      <c r="Q159" s="55">
        <v>0.86631999999999998</v>
      </c>
      <c r="R159" s="61">
        <f t="shared" si="8"/>
        <v>6321.7103039999993</v>
      </c>
      <c r="S159">
        <f t="shared" si="9"/>
        <v>6321.7103039999993</v>
      </c>
      <c r="T159" s="5">
        <f t="shared" si="10"/>
        <v>6.3217103039999991E-3</v>
      </c>
    </row>
    <row r="160" spans="1:20" ht="16.8">
      <c r="A160" s="80">
        <v>146</v>
      </c>
      <c r="B160" t="s">
        <v>375</v>
      </c>
      <c r="C160" s="63">
        <v>46099.656944444447</v>
      </c>
      <c r="D160" t="s">
        <v>316</v>
      </c>
      <c r="E160" t="s">
        <v>336</v>
      </c>
      <c r="F160" t="s">
        <v>376</v>
      </c>
      <c r="G160" s="67" t="s">
        <v>414</v>
      </c>
      <c r="H160" t="s">
        <v>378</v>
      </c>
      <c r="J160" t="s">
        <v>320</v>
      </c>
      <c r="K160" s="53">
        <v>1102.0819200000001</v>
      </c>
      <c r="L160">
        <v>-10</v>
      </c>
      <c r="M160" s="53">
        <v>9731.34</v>
      </c>
      <c r="O160" t="s">
        <v>1006</v>
      </c>
      <c r="P160">
        <v>-1</v>
      </c>
      <c r="Q160" s="55">
        <v>0.86631999999999998</v>
      </c>
      <c r="R160" s="61">
        <f t="shared" si="8"/>
        <v>8430.4544688000005</v>
      </c>
      <c r="S160">
        <f t="shared" si="9"/>
        <v>8430.4544688000005</v>
      </c>
      <c r="T160" s="5">
        <f t="shared" si="10"/>
        <v>8.430454468800001E-3</v>
      </c>
    </row>
    <row r="161" spans="1:20" ht="16.8">
      <c r="A161" s="80">
        <v>147</v>
      </c>
      <c r="B161" t="s">
        <v>375</v>
      </c>
      <c r="C161" s="63">
        <v>46099.656944444447</v>
      </c>
      <c r="D161" t="s">
        <v>316</v>
      </c>
      <c r="E161" t="s">
        <v>336</v>
      </c>
      <c r="F161" t="s">
        <v>376</v>
      </c>
      <c r="G161" s="67" t="s">
        <v>408</v>
      </c>
      <c r="H161" t="s">
        <v>378</v>
      </c>
      <c r="J161" t="s">
        <v>320</v>
      </c>
      <c r="K161" s="53">
        <v>1098.3900000000001</v>
      </c>
      <c r="L161">
        <v>-15</v>
      </c>
      <c r="M161" s="53">
        <v>14545.69</v>
      </c>
      <c r="O161" t="s">
        <v>1006</v>
      </c>
      <c r="P161">
        <v>-1</v>
      </c>
      <c r="Q161" s="55">
        <v>0.86631999999999998</v>
      </c>
      <c r="R161" s="61">
        <f t="shared" si="8"/>
        <v>12601.2221608</v>
      </c>
      <c r="S161">
        <f t="shared" si="9"/>
        <v>12601.2221608</v>
      </c>
      <c r="T161" s="5">
        <f t="shared" si="10"/>
        <v>1.2601222160800001E-2</v>
      </c>
    </row>
    <row r="162" spans="1:20" ht="16.8">
      <c r="A162" s="80">
        <v>148</v>
      </c>
      <c r="B162" t="s">
        <v>375</v>
      </c>
      <c r="C162" s="63">
        <v>46099.656944444447</v>
      </c>
      <c r="D162" t="s">
        <v>316</v>
      </c>
      <c r="E162" t="s">
        <v>336</v>
      </c>
      <c r="F162" t="s">
        <v>376</v>
      </c>
      <c r="G162" s="67" t="s">
        <v>410</v>
      </c>
      <c r="H162" t="s">
        <v>378</v>
      </c>
      <c r="J162" t="s">
        <v>320</v>
      </c>
      <c r="K162" s="53">
        <v>1110.74</v>
      </c>
      <c r="L162">
        <v>-15</v>
      </c>
      <c r="M162" s="53">
        <v>14805.86</v>
      </c>
      <c r="O162" t="s">
        <v>1006</v>
      </c>
      <c r="P162">
        <v>-1</v>
      </c>
      <c r="Q162" s="55">
        <v>0.86631999999999998</v>
      </c>
      <c r="R162" s="61">
        <f t="shared" si="8"/>
        <v>12826.612635200001</v>
      </c>
      <c r="S162">
        <f t="shared" si="9"/>
        <v>12826.612635200001</v>
      </c>
      <c r="T162" s="5">
        <f t="shared" si="10"/>
        <v>1.2826612635200001E-2</v>
      </c>
    </row>
    <row r="163" spans="1:20" ht="16.8">
      <c r="A163" s="80">
        <v>149</v>
      </c>
      <c r="B163" t="s">
        <v>375</v>
      </c>
      <c r="C163" s="63">
        <v>46099.656944444447</v>
      </c>
      <c r="D163" t="s">
        <v>316</v>
      </c>
      <c r="E163" t="s">
        <v>336</v>
      </c>
      <c r="F163" t="s">
        <v>376</v>
      </c>
      <c r="G163" s="67" t="s">
        <v>402</v>
      </c>
      <c r="H163" t="s">
        <v>378</v>
      </c>
      <c r="J163" t="s">
        <v>320</v>
      </c>
      <c r="K163" s="53">
        <v>1007.34</v>
      </c>
      <c r="L163">
        <v>-20</v>
      </c>
      <c r="M163" s="53">
        <v>17606.63</v>
      </c>
      <c r="O163" t="s">
        <v>1006</v>
      </c>
      <c r="P163">
        <v>-1</v>
      </c>
      <c r="Q163" s="55">
        <v>0.86631999999999998</v>
      </c>
      <c r="R163" s="61">
        <f t="shared" si="8"/>
        <v>15252.9757016</v>
      </c>
      <c r="S163">
        <f t="shared" si="9"/>
        <v>15252.9757016</v>
      </c>
      <c r="T163" s="5">
        <f t="shared" si="10"/>
        <v>1.5252975701600001E-2</v>
      </c>
    </row>
    <row r="164" spans="1:20" ht="16.8">
      <c r="A164" s="80">
        <v>150</v>
      </c>
      <c r="B164" t="s">
        <v>375</v>
      </c>
      <c r="C164" s="63">
        <v>46099.656944444447</v>
      </c>
      <c r="D164" t="s">
        <v>316</v>
      </c>
      <c r="E164" t="s">
        <v>336</v>
      </c>
      <c r="F164" t="s">
        <v>376</v>
      </c>
      <c r="G164" s="67" t="s">
        <v>400</v>
      </c>
      <c r="H164" t="s">
        <v>378</v>
      </c>
      <c r="J164" t="s">
        <v>320</v>
      </c>
      <c r="K164" s="55">
        <v>879.48</v>
      </c>
      <c r="L164">
        <v>-27</v>
      </c>
      <c r="M164" s="53">
        <v>20614.05</v>
      </c>
      <c r="O164" t="s">
        <v>1006</v>
      </c>
      <c r="P164">
        <v>-1</v>
      </c>
      <c r="Q164" s="55">
        <v>0.86631999999999998</v>
      </c>
      <c r="R164" s="61">
        <f t="shared" si="8"/>
        <v>17858.363795999998</v>
      </c>
      <c r="S164">
        <f t="shared" si="9"/>
        <v>17858.363795999998</v>
      </c>
      <c r="T164" s="5">
        <f t="shared" si="10"/>
        <v>1.7858363795999997E-2</v>
      </c>
    </row>
    <row r="165" spans="1:20" ht="16.8">
      <c r="A165" s="80">
        <v>151</v>
      </c>
      <c r="B165" t="s">
        <v>375</v>
      </c>
      <c r="C165" s="63">
        <v>46099.656944444447</v>
      </c>
      <c r="D165" t="s">
        <v>316</v>
      </c>
      <c r="E165" t="s">
        <v>336</v>
      </c>
      <c r="F165" t="s">
        <v>376</v>
      </c>
      <c r="G165" s="67" t="s">
        <v>412</v>
      </c>
      <c r="H165" t="s">
        <v>378</v>
      </c>
      <c r="J165" t="s">
        <v>320</v>
      </c>
      <c r="K165" s="53">
        <v>1000.6</v>
      </c>
      <c r="L165">
        <v>-10</v>
      </c>
      <c r="M165" s="53">
        <v>8692.86</v>
      </c>
      <c r="O165" t="s">
        <v>1006</v>
      </c>
      <c r="P165">
        <v>-1</v>
      </c>
      <c r="Q165" s="55">
        <v>0.86631999999999998</v>
      </c>
      <c r="R165" s="61">
        <f t="shared" si="8"/>
        <v>7530.7984752000002</v>
      </c>
      <c r="S165">
        <f t="shared" si="9"/>
        <v>7530.7984752000002</v>
      </c>
      <c r="T165" s="5">
        <f t="shared" si="10"/>
        <v>7.5307984752E-3</v>
      </c>
    </row>
    <row r="166" spans="1:20" ht="16.8">
      <c r="A166" s="80">
        <v>152</v>
      </c>
      <c r="B166" t="s">
        <v>375</v>
      </c>
      <c r="C166" s="63">
        <v>46099.656944444447</v>
      </c>
      <c r="D166" t="s">
        <v>316</v>
      </c>
      <c r="E166" t="s">
        <v>336</v>
      </c>
      <c r="F166" t="s">
        <v>376</v>
      </c>
      <c r="G166" s="67" t="s">
        <v>404</v>
      </c>
      <c r="H166" t="s">
        <v>378</v>
      </c>
      <c r="J166" t="s">
        <v>320</v>
      </c>
      <c r="K166" s="53">
        <v>1073.77</v>
      </c>
      <c r="L166">
        <v>-19</v>
      </c>
      <c r="M166" s="53">
        <v>17776.900000000001</v>
      </c>
      <c r="O166" t="s">
        <v>1006</v>
      </c>
      <c r="P166">
        <v>-1</v>
      </c>
      <c r="Q166" s="55">
        <v>0.86631999999999998</v>
      </c>
      <c r="R166" s="61">
        <f t="shared" ref="R166:R169" si="11">M166*Q166</f>
        <v>15400.484008000001</v>
      </c>
      <c r="S166">
        <f t="shared" ref="S166:S229" si="12">ABS(R166)</f>
        <v>15400.484008000001</v>
      </c>
      <c r="T166" s="5">
        <f t="shared" si="10"/>
        <v>1.5400484008000001E-2</v>
      </c>
    </row>
    <row r="167" spans="1:20" ht="16.8">
      <c r="A167" s="80">
        <v>153</v>
      </c>
      <c r="B167" t="s">
        <v>375</v>
      </c>
      <c r="C167" s="63">
        <v>46099.656944444447</v>
      </c>
      <c r="D167" t="s">
        <v>316</v>
      </c>
      <c r="E167" t="s">
        <v>336</v>
      </c>
      <c r="F167" t="s">
        <v>376</v>
      </c>
      <c r="G167" s="67" t="s">
        <v>398</v>
      </c>
      <c r="H167" t="s">
        <v>378</v>
      </c>
      <c r="J167" t="s">
        <v>320</v>
      </c>
      <c r="K167" s="53">
        <v>1045.24</v>
      </c>
      <c r="L167">
        <v>-23</v>
      </c>
      <c r="M167" s="53">
        <v>21124.81</v>
      </c>
      <c r="O167" t="s">
        <v>1006</v>
      </c>
      <c r="P167">
        <v>-1</v>
      </c>
      <c r="Q167" s="55">
        <v>0.86631999999999998</v>
      </c>
      <c r="R167" s="61">
        <f t="shared" si="11"/>
        <v>18300.8453992</v>
      </c>
      <c r="S167">
        <f t="shared" si="12"/>
        <v>18300.8453992</v>
      </c>
      <c r="T167" s="5">
        <f t="shared" si="10"/>
        <v>1.8300845399199999E-2</v>
      </c>
    </row>
    <row r="168" spans="1:20" ht="16.8">
      <c r="A168" s="80">
        <v>154</v>
      </c>
      <c r="B168" t="s">
        <v>375</v>
      </c>
      <c r="C168" s="63">
        <v>46099.656944444447</v>
      </c>
      <c r="D168" t="s">
        <v>316</v>
      </c>
      <c r="E168" t="s">
        <v>336</v>
      </c>
      <c r="F168" t="s">
        <v>376</v>
      </c>
      <c r="G168" s="67" t="s">
        <v>406</v>
      </c>
      <c r="H168" t="s">
        <v>378</v>
      </c>
      <c r="J168" t="s">
        <v>320</v>
      </c>
      <c r="K168" s="53">
        <v>1379.06</v>
      </c>
      <c r="L168">
        <v>-12</v>
      </c>
      <c r="M168" s="53">
        <v>14693.54</v>
      </c>
      <c r="O168" t="s">
        <v>1006</v>
      </c>
      <c r="P168">
        <v>-1</v>
      </c>
      <c r="Q168" s="55">
        <v>0.86631999999999998</v>
      </c>
      <c r="R168" s="61">
        <f t="shared" si="11"/>
        <v>12729.3075728</v>
      </c>
      <c r="S168">
        <f t="shared" si="12"/>
        <v>12729.3075728</v>
      </c>
      <c r="T168" s="5">
        <f t="shared" si="10"/>
        <v>1.2729307572800001E-2</v>
      </c>
    </row>
    <row r="169" spans="1:20" ht="16.8">
      <c r="A169" s="80">
        <v>155</v>
      </c>
      <c r="B169" t="s">
        <v>375</v>
      </c>
      <c r="C169" s="63">
        <v>46099.656944444447</v>
      </c>
      <c r="D169" t="s">
        <v>316</v>
      </c>
      <c r="E169" t="s">
        <v>336</v>
      </c>
      <c r="F169" t="s">
        <v>376</v>
      </c>
      <c r="G169" s="78" t="s">
        <v>377</v>
      </c>
      <c r="H169" t="s">
        <v>378</v>
      </c>
      <c r="J169" t="s">
        <v>320</v>
      </c>
      <c r="K169" s="55">
        <v>758.125</v>
      </c>
      <c r="L169">
        <v>-46</v>
      </c>
      <c r="M169" s="53">
        <v>30624.61</v>
      </c>
      <c r="O169" t="s">
        <v>1006</v>
      </c>
      <c r="P169">
        <v>-1</v>
      </c>
      <c r="Q169" s="55">
        <v>0.86631999999999998</v>
      </c>
      <c r="R169" s="61">
        <f t="shared" si="11"/>
        <v>26530.712135199999</v>
      </c>
      <c r="S169">
        <f t="shared" si="12"/>
        <v>26530.712135199999</v>
      </c>
      <c r="T169" s="5">
        <f t="shared" si="10"/>
        <v>2.6530712135199998E-2</v>
      </c>
    </row>
    <row r="170" spans="1:20" ht="16.8">
      <c r="A170" s="80">
        <v>156</v>
      </c>
      <c r="B170" t="s">
        <v>375</v>
      </c>
      <c r="C170" s="63">
        <v>46099.656944444447</v>
      </c>
      <c r="D170" t="s">
        <v>316</v>
      </c>
      <c r="E170" t="s">
        <v>336</v>
      </c>
      <c r="F170" t="s">
        <v>322</v>
      </c>
      <c r="G170" s="2" t="s">
        <v>512</v>
      </c>
      <c r="H170" t="s">
        <v>77</v>
      </c>
      <c r="J170" t="s">
        <v>320</v>
      </c>
      <c r="K170" s="55">
        <v>0.22009999999999999</v>
      </c>
      <c r="L170">
        <v>-500000</v>
      </c>
      <c r="M170" s="53">
        <v>95338.34</v>
      </c>
      <c r="P170">
        <v>0</v>
      </c>
      <c r="Q170" s="55">
        <v>0.86631999999999998</v>
      </c>
      <c r="R170" s="61">
        <f t="shared" ref="R170" si="13">M170*Q170</f>
        <v>82593.510708799993</v>
      </c>
      <c r="S170">
        <f t="shared" si="12"/>
        <v>82593.510708799993</v>
      </c>
      <c r="T170" s="5">
        <f t="shared" si="10"/>
        <v>8.25935107088E-2</v>
      </c>
    </row>
    <row r="171" spans="1:20" ht="16.8">
      <c r="A171" s="80">
        <v>157</v>
      </c>
      <c r="B171" t="s">
        <v>375</v>
      </c>
      <c r="C171" s="63">
        <v>46099.656944444447</v>
      </c>
      <c r="D171" t="s">
        <v>316</v>
      </c>
      <c r="E171" t="s">
        <v>336</v>
      </c>
      <c r="F171" t="s">
        <v>322</v>
      </c>
      <c r="G171" s="2" t="s">
        <v>510</v>
      </c>
      <c r="H171" t="s">
        <v>77</v>
      </c>
      <c r="J171" t="s">
        <v>320</v>
      </c>
      <c r="K171" s="55">
        <v>89.21</v>
      </c>
      <c r="L171">
        <v>-1000</v>
      </c>
      <c r="M171" s="53">
        <v>77284.27</v>
      </c>
      <c r="P171">
        <v>0</v>
      </c>
      <c r="Q171" s="55">
        <v>0.86631999999999998</v>
      </c>
      <c r="R171" s="61">
        <f>M171*Q171</f>
        <v>66952.908786400003</v>
      </c>
      <c r="S171">
        <f t="shared" si="12"/>
        <v>66952.908786400003</v>
      </c>
      <c r="T171" s="5">
        <f t="shared" si="10"/>
        <v>6.6952908786400006E-2</v>
      </c>
    </row>
    <row r="172" spans="1:20" ht="16.8">
      <c r="A172" s="80">
        <v>158</v>
      </c>
      <c r="B172" t="s">
        <v>315</v>
      </c>
      <c r="C172" s="63">
        <v>46099.656944444447</v>
      </c>
      <c r="D172" t="s">
        <v>316</v>
      </c>
      <c r="E172" t="s">
        <v>336</v>
      </c>
      <c r="F172" t="s">
        <v>69</v>
      </c>
      <c r="G172" s="126" t="s">
        <v>501</v>
      </c>
      <c r="H172" t="s">
        <v>433</v>
      </c>
      <c r="J172" t="s">
        <v>320</v>
      </c>
      <c r="K172" s="55">
        <v>67.45</v>
      </c>
      <c r="L172">
        <v>-237</v>
      </c>
      <c r="M172" s="53">
        <v>13848.66</v>
      </c>
      <c r="P172">
        <v>-1</v>
      </c>
      <c r="Q172" s="55">
        <v>0.86631999999999998</v>
      </c>
      <c r="R172" s="61">
        <f>M172*Q172-P172</f>
        <v>11998.3711312</v>
      </c>
      <c r="S172">
        <f t="shared" si="12"/>
        <v>11998.3711312</v>
      </c>
      <c r="T172" s="5">
        <f t="shared" si="10"/>
        <v>1.19983711312E-2</v>
      </c>
    </row>
    <row r="173" spans="1:20" ht="16.8">
      <c r="A173" s="80">
        <v>159</v>
      </c>
      <c r="B173" t="s">
        <v>315</v>
      </c>
      <c r="C173" s="63">
        <v>46099.656944444447</v>
      </c>
      <c r="D173" t="s">
        <v>316</v>
      </c>
      <c r="E173" t="s">
        <v>336</v>
      </c>
      <c r="F173" t="s">
        <v>69</v>
      </c>
      <c r="G173" s="126" t="s">
        <v>481</v>
      </c>
      <c r="H173" t="s">
        <v>433</v>
      </c>
      <c r="J173" t="s">
        <v>320</v>
      </c>
      <c r="K173" s="55">
        <v>315.08999999999997</v>
      </c>
      <c r="L173">
        <v>-5</v>
      </c>
      <c r="M173" s="53">
        <v>1364.84</v>
      </c>
      <c r="P173">
        <v>-1</v>
      </c>
      <c r="Q173" s="55">
        <v>0.86631999999999998</v>
      </c>
      <c r="R173" s="61">
        <f t="shared" ref="R173:R176" si="14">M173*Q173-P173</f>
        <v>1183.3881887999999</v>
      </c>
      <c r="S173">
        <f t="shared" si="12"/>
        <v>1183.3881887999999</v>
      </c>
      <c r="T173" s="5">
        <f t="shared" si="10"/>
        <v>1.1833881887999998E-3</v>
      </c>
    </row>
    <row r="174" spans="1:20" ht="16.8">
      <c r="A174" s="80">
        <v>160</v>
      </c>
      <c r="B174" t="s">
        <v>315</v>
      </c>
      <c r="C174" s="63">
        <v>46099.656944444447</v>
      </c>
      <c r="D174" t="s">
        <v>316</v>
      </c>
      <c r="E174" t="s">
        <v>336</v>
      </c>
      <c r="F174" t="s">
        <v>69</v>
      </c>
      <c r="G174" s="126" t="s">
        <v>469</v>
      </c>
      <c r="H174" t="s">
        <v>433</v>
      </c>
      <c r="J174" t="s">
        <v>320</v>
      </c>
      <c r="K174" s="55">
        <v>65.010000000000005</v>
      </c>
      <c r="L174">
        <v>-48</v>
      </c>
      <c r="M174" s="53">
        <v>2703.33</v>
      </c>
      <c r="P174">
        <v>-1</v>
      </c>
      <c r="Q174" s="55">
        <v>0.86631999999999998</v>
      </c>
      <c r="R174" s="61">
        <f t="shared" si="14"/>
        <v>2342.9488455999999</v>
      </c>
      <c r="S174">
        <f t="shared" si="12"/>
        <v>2342.9488455999999</v>
      </c>
      <c r="T174" s="5">
        <f t="shared" si="10"/>
        <v>2.3429488455999998E-3</v>
      </c>
    </row>
    <row r="175" spans="1:20" ht="16.8">
      <c r="A175" s="80">
        <v>161</v>
      </c>
      <c r="B175" t="s">
        <v>315</v>
      </c>
      <c r="C175" s="63">
        <v>46099.656944444447</v>
      </c>
      <c r="D175" t="s">
        <v>316</v>
      </c>
      <c r="E175" t="s">
        <v>336</v>
      </c>
      <c r="F175" t="s">
        <v>69</v>
      </c>
      <c r="G175" s="126" t="s">
        <v>478</v>
      </c>
      <c r="H175" t="s">
        <v>433</v>
      </c>
      <c r="J175" t="s">
        <v>320</v>
      </c>
      <c r="K175" s="55">
        <v>39.58</v>
      </c>
      <c r="L175">
        <v>-162</v>
      </c>
      <c r="M175" s="53">
        <v>5554.8</v>
      </c>
      <c r="P175">
        <v>-1</v>
      </c>
      <c r="Q175" s="55">
        <v>0.86631999999999998</v>
      </c>
      <c r="R175" s="61">
        <f t="shared" si="14"/>
        <v>4813.2343360000004</v>
      </c>
      <c r="S175">
        <f t="shared" si="12"/>
        <v>4813.2343360000004</v>
      </c>
      <c r="T175" s="5">
        <f t="shared" si="10"/>
        <v>4.8132343360000008E-3</v>
      </c>
    </row>
    <row r="176" spans="1:20" ht="16.8">
      <c r="A176" s="80">
        <v>162</v>
      </c>
      <c r="B176" t="s">
        <v>315</v>
      </c>
      <c r="C176" s="63">
        <v>46099.656944444447</v>
      </c>
      <c r="D176" t="s">
        <v>316</v>
      </c>
      <c r="E176" t="s">
        <v>336</v>
      </c>
      <c r="F176" t="s">
        <v>69</v>
      </c>
      <c r="G176" s="126" t="s">
        <v>452</v>
      </c>
      <c r="H176" t="s">
        <v>433</v>
      </c>
      <c r="J176" t="s">
        <v>320</v>
      </c>
      <c r="K176" s="55">
        <v>80.430000000000007</v>
      </c>
      <c r="L176">
        <v>-160</v>
      </c>
      <c r="M176" s="53">
        <v>11148.48</v>
      </c>
      <c r="P176">
        <v>-1</v>
      </c>
      <c r="Q176" s="55">
        <v>0.86631999999999998</v>
      </c>
      <c r="R176" s="61">
        <f t="shared" si="14"/>
        <v>9659.1511935999988</v>
      </c>
      <c r="S176">
        <f t="shared" si="12"/>
        <v>9659.1511935999988</v>
      </c>
      <c r="T176" s="5">
        <f t="shared" si="10"/>
        <v>9.6591511935999984E-3</v>
      </c>
    </row>
    <row r="177" spans="1:20" ht="16.8">
      <c r="A177" s="80">
        <v>163</v>
      </c>
      <c r="B177" t="s">
        <v>315</v>
      </c>
      <c r="C177" s="63">
        <v>46099.656944444447</v>
      </c>
      <c r="D177" t="s">
        <v>316</v>
      </c>
      <c r="E177" t="s">
        <v>336</v>
      </c>
      <c r="F177" t="s">
        <v>69</v>
      </c>
      <c r="G177" s="126" t="s">
        <v>465</v>
      </c>
      <c r="H177" t="s">
        <v>433</v>
      </c>
      <c r="J177" t="s">
        <v>320</v>
      </c>
      <c r="K177" s="55">
        <v>33.369999999999997</v>
      </c>
      <c r="L177">
        <v>-83</v>
      </c>
      <c r="M177" s="53">
        <v>2399.4499999999998</v>
      </c>
      <c r="P177">
        <v>-1</v>
      </c>
      <c r="Q177" s="55">
        <v>0.86631999999999998</v>
      </c>
      <c r="R177" s="61">
        <f>M177*Q177-P177</f>
        <v>2079.6915239999998</v>
      </c>
      <c r="S177">
        <f t="shared" si="12"/>
        <v>2079.6915239999998</v>
      </c>
      <c r="T177" s="5">
        <f t="shared" si="10"/>
        <v>2.0796915239999999E-3</v>
      </c>
    </row>
    <row r="178" spans="1:20" ht="16.8">
      <c r="A178" s="80">
        <v>164</v>
      </c>
      <c r="B178" t="s">
        <v>315</v>
      </c>
      <c r="C178" s="63">
        <v>46099.656944444447</v>
      </c>
      <c r="D178" t="s">
        <v>316</v>
      </c>
      <c r="E178" t="s">
        <v>336</v>
      </c>
      <c r="F178" t="s">
        <v>69</v>
      </c>
      <c r="G178" s="126" t="s">
        <v>466</v>
      </c>
      <c r="H178" t="s">
        <v>433</v>
      </c>
      <c r="J178" t="s">
        <v>320</v>
      </c>
      <c r="K178" s="55">
        <v>749.45</v>
      </c>
      <c r="L178">
        <v>-7</v>
      </c>
      <c r="M178" s="53">
        <v>4544.84</v>
      </c>
      <c r="P178">
        <v>-1</v>
      </c>
      <c r="Q178" s="55">
        <v>0.86631999999999998</v>
      </c>
      <c r="R178" s="61">
        <f t="shared" ref="R178:R241" si="15">M178*Q178-P178</f>
        <v>3938.2857887999999</v>
      </c>
      <c r="S178">
        <f t="shared" si="12"/>
        <v>3938.2857887999999</v>
      </c>
      <c r="T178" s="5">
        <f t="shared" si="10"/>
        <v>3.9382857887999998E-3</v>
      </c>
    </row>
    <row r="179" spans="1:20" ht="16.8">
      <c r="A179" s="80">
        <v>165</v>
      </c>
      <c r="B179" t="s">
        <v>315</v>
      </c>
      <c r="C179" s="63">
        <v>46099.656944444447</v>
      </c>
      <c r="D179" t="s">
        <v>316</v>
      </c>
      <c r="E179" t="s">
        <v>336</v>
      </c>
      <c r="F179" t="s">
        <v>69</v>
      </c>
      <c r="G179" s="126" t="s">
        <v>461</v>
      </c>
      <c r="H179" t="s">
        <v>433</v>
      </c>
      <c r="J179" t="s">
        <v>320</v>
      </c>
      <c r="K179" s="55">
        <v>28.89</v>
      </c>
      <c r="L179">
        <v>-229</v>
      </c>
      <c r="M179" s="53">
        <v>5731.4</v>
      </c>
      <c r="P179">
        <v>-1</v>
      </c>
      <c r="Q179" s="55">
        <v>0.86631999999999998</v>
      </c>
      <c r="R179" s="61">
        <f t="shared" si="15"/>
        <v>4966.2264479999994</v>
      </c>
      <c r="S179">
        <f t="shared" si="12"/>
        <v>4966.2264479999994</v>
      </c>
      <c r="T179" s="5">
        <f t="shared" si="10"/>
        <v>4.9662264479999997E-3</v>
      </c>
    </row>
    <row r="180" spans="1:20" ht="16.8">
      <c r="A180" s="80">
        <v>166</v>
      </c>
      <c r="B180" t="s">
        <v>315</v>
      </c>
      <c r="C180" s="63">
        <v>46099.656944444447</v>
      </c>
      <c r="D180" t="s">
        <v>316</v>
      </c>
      <c r="E180" t="s">
        <v>336</v>
      </c>
      <c r="F180" t="s">
        <v>69</v>
      </c>
      <c r="G180" s="2" t="s">
        <v>498</v>
      </c>
      <c r="H180" t="s">
        <v>433</v>
      </c>
      <c r="J180" t="s">
        <v>320</v>
      </c>
      <c r="K180" s="55">
        <v>455.85</v>
      </c>
      <c r="L180">
        <v>-26</v>
      </c>
      <c r="M180" s="53">
        <v>10267.69</v>
      </c>
      <c r="P180">
        <v>-1</v>
      </c>
      <c r="Q180" s="55">
        <v>0.86631999999999998</v>
      </c>
      <c r="R180" s="61">
        <f t="shared" si="15"/>
        <v>8896.1052008000006</v>
      </c>
      <c r="S180">
        <f t="shared" si="12"/>
        <v>8896.1052008000006</v>
      </c>
      <c r="T180" s="5">
        <f t="shared" si="10"/>
        <v>8.8961052008000013E-3</v>
      </c>
    </row>
    <row r="181" spans="1:20" ht="16.8">
      <c r="A181" s="80">
        <v>167</v>
      </c>
      <c r="B181" t="s">
        <v>315</v>
      </c>
      <c r="C181" s="63">
        <v>46099.656944444447</v>
      </c>
      <c r="D181" t="s">
        <v>316</v>
      </c>
      <c r="E181" t="s">
        <v>336</v>
      </c>
      <c r="F181" t="s">
        <v>69</v>
      </c>
      <c r="G181" s="126" t="s">
        <v>467</v>
      </c>
      <c r="H181" t="s">
        <v>433</v>
      </c>
      <c r="J181" t="s">
        <v>320</v>
      </c>
      <c r="K181" s="55">
        <v>107.67</v>
      </c>
      <c r="L181">
        <v>-27</v>
      </c>
      <c r="M181" s="53">
        <v>2518.4699999999998</v>
      </c>
      <c r="P181">
        <v>-1</v>
      </c>
      <c r="Q181" s="55">
        <v>0.86631999999999998</v>
      </c>
      <c r="R181" s="61">
        <f t="shared" si="15"/>
        <v>2182.8009303999997</v>
      </c>
      <c r="S181">
        <f t="shared" si="12"/>
        <v>2182.8009303999997</v>
      </c>
      <c r="T181" s="5">
        <f t="shared" si="10"/>
        <v>2.1828009303999996E-3</v>
      </c>
    </row>
    <row r="182" spans="1:20" ht="16.8">
      <c r="A182" s="80">
        <v>168</v>
      </c>
      <c r="B182" t="s">
        <v>315</v>
      </c>
      <c r="C182" s="63">
        <v>46099.656944444447</v>
      </c>
      <c r="D182" t="s">
        <v>316</v>
      </c>
      <c r="E182" t="s">
        <v>336</v>
      </c>
      <c r="F182" t="s">
        <v>69</v>
      </c>
      <c r="G182" s="126" t="s">
        <v>463</v>
      </c>
      <c r="H182" t="s">
        <v>433</v>
      </c>
      <c r="J182" t="s">
        <v>320</v>
      </c>
      <c r="K182">
        <v>114.7</v>
      </c>
      <c r="L182">
        <v>-53</v>
      </c>
      <c r="M182" s="53">
        <v>5266.44</v>
      </c>
      <c r="P182">
        <v>-1</v>
      </c>
      <c r="Q182" s="55">
        <v>0.86631999999999998</v>
      </c>
      <c r="R182" s="61">
        <f t="shared" si="15"/>
        <v>4563.4223007999999</v>
      </c>
      <c r="S182">
        <f t="shared" si="12"/>
        <v>4563.4223007999999</v>
      </c>
      <c r="T182" s="5">
        <f t="shared" si="10"/>
        <v>4.5634223007999996E-3</v>
      </c>
    </row>
    <row r="183" spans="1:20" ht="16.8">
      <c r="A183" s="80">
        <v>169</v>
      </c>
      <c r="B183" t="s">
        <v>315</v>
      </c>
      <c r="C183" s="63">
        <v>46099.656944444447</v>
      </c>
      <c r="D183" t="s">
        <v>316</v>
      </c>
      <c r="E183" t="s">
        <v>336</v>
      </c>
      <c r="F183" t="s">
        <v>69</v>
      </c>
      <c r="G183" s="126" t="s">
        <v>457</v>
      </c>
      <c r="H183" t="s">
        <v>433</v>
      </c>
      <c r="J183" t="s">
        <v>320</v>
      </c>
      <c r="K183">
        <v>61.64</v>
      </c>
      <c r="L183">
        <v>-132</v>
      </c>
      <c r="M183" s="53">
        <v>7048.78</v>
      </c>
      <c r="P183">
        <v>-1</v>
      </c>
      <c r="Q183" s="55">
        <v>0.86631999999999998</v>
      </c>
      <c r="R183" s="61">
        <f t="shared" si="15"/>
        <v>6107.4990895999999</v>
      </c>
      <c r="S183">
        <f t="shared" si="12"/>
        <v>6107.4990895999999</v>
      </c>
      <c r="T183" s="5">
        <f t="shared" si="10"/>
        <v>6.1074990895999999E-3</v>
      </c>
    </row>
    <row r="184" spans="1:20" ht="16.8">
      <c r="A184" s="80">
        <v>170</v>
      </c>
      <c r="B184" t="s">
        <v>315</v>
      </c>
      <c r="C184" s="63">
        <v>46099.656944444447</v>
      </c>
      <c r="D184" t="s">
        <v>316</v>
      </c>
      <c r="E184" t="s">
        <v>336</v>
      </c>
      <c r="F184" t="s">
        <v>69</v>
      </c>
      <c r="G184" s="126" t="s">
        <v>475</v>
      </c>
      <c r="H184" t="s">
        <v>433</v>
      </c>
      <c r="J184" t="s">
        <v>320</v>
      </c>
      <c r="K184">
        <v>122.39</v>
      </c>
      <c r="L184">
        <v>-48</v>
      </c>
      <c r="M184" s="53">
        <v>5089.38</v>
      </c>
      <c r="P184">
        <v>-1</v>
      </c>
      <c r="Q184" s="55">
        <v>0.86631999999999998</v>
      </c>
      <c r="R184" s="61">
        <f t="shared" si="15"/>
        <v>4410.0316816000004</v>
      </c>
      <c r="S184">
        <f t="shared" si="12"/>
        <v>4410.0316816000004</v>
      </c>
      <c r="T184" s="5">
        <f t="shared" si="10"/>
        <v>4.4100316816000004E-3</v>
      </c>
    </row>
    <row r="185" spans="1:20" ht="16.8">
      <c r="A185" s="80">
        <v>171</v>
      </c>
      <c r="B185" t="s">
        <v>315</v>
      </c>
      <c r="C185" s="63">
        <v>46099.656944444447</v>
      </c>
      <c r="D185" t="s">
        <v>316</v>
      </c>
      <c r="E185" t="s">
        <v>336</v>
      </c>
      <c r="F185" t="s">
        <v>69</v>
      </c>
      <c r="G185" s="126" t="s">
        <v>485</v>
      </c>
      <c r="H185" t="s">
        <v>433</v>
      </c>
      <c r="J185" t="s">
        <v>320</v>
      </c>
      <c r="K185">
        <v>91.94</v>
      </c>
      <c r="L185">
        <v>-10</v>
      </c>
      <c r="M185" s="55">
        <v>796.49</v>
      </c>
      <c r="P185">
        <v>-1</v>
      </c>
      <c r="Q185" s="55">
        <v>0.86631999999999998</v>
      </c>
      <c r="R185" s="61">
        <f t="shared" si="15"/>
        <v>691.01521679999996</v>
      </c>
      <c r="S185">
        <f t="shared" si="12"/>
        <v>691.01521679999996</v>
      </c>
      <c r="T185" s="5">
        <f t="shared" si="10"/>
        <v>6.9101521679999995E-4</v>
      </c>
    </row>
    <row r="186" spans="1:20" ht="16.8">
      <c r="A186" s="80">
        <v>172</v>
      </c>
      <c r="B186" t="s">
        <v>315</v>
      </c>
      <c r="C186" s="63">
        <v>46099.656944444447</v>
      </c>
      <c r="D186" t="s">
        <v>316</v>
      </c>
      <c r="E186" t="s">
        <v>336</v>
      </c>
      <c r="F186" t="s">
        <v>13</v>
      </c>
      <c r="G186" s="67" t="s">
        <v>10</v>
      </c>
      <c r="H186" t="s">
        <v>13</v>
      </c>
      <c r="J186" t="s">
        <v>320</v>
      </c>
      <c r="K186">
        <v>667.12</v>
      </c>
      <c r="L186">
        <v>-65</v>
      </c>
      <c r="M186" s="53">
        <v>37565.99</v>
      </c>
      <c r="P186">
        <v>-1</v>
      </c>
      <c r="Q186" s="55">
        <v>0.86631999999999998</v>
      </c>
      <c r="R186" s="61">
        <f t="shared" si="15"/>
        <v>32545.168456799998</v>
      </c>
      <c r="S186">
        <f t="shared" si="12"/>
        <v>32545.168456799998</v>
      </c>
      <c r="T186" s="5">
        <f t="shared" si="10"/>
        <v>3.25451684568E-2</v>
      </c>
    </row>
    <row r="187" spans="1:20" ht="16.8">
      <c r="A187" s="80">
        <v>173</v>
      </c>
      <c r="B187" t="s">
        <v>315</v>
      </c>
      <c r="C187" s="63">
        <v>46099.656944444447</v>
      </c>
      <c r="D187" t="s">
        <v>316</v>
      </c>
      <c r="E187" t="s">
        <v>336</v>
      </c>
      <c r="F187" t="s">
        <v>69</v>
      </c>
      <c r="G187" s="126" t="s">
        <v>484</v>
      </c>
      <c r="H187" t="s">
        <v>433</v>
      </c>
      <c r="J187" t="s">
        <v>320</v>
      </c>
      <c r="K187">
        <v>130.97</v>
      </c>
      <c r="L187">
        <v>-58</v>
      </c>
      <c r="M187" s="53">
        <v>6580.78</v>
      </c>
      <c r="P187">
        <v>-1</v>
      </c>
      <c r="Q187" s="55">
        <v>0.86631999999999998</v>
      </c>
      <c r="R187" s="61">
        <f t="shared" si="15"/>
        <v>5702.0613295999992</v>
      </c>
      <c r="S187">
        <f t="shared" si="12"/>
        <v>5702.0613295999992</v>
      </c>
      <c r="T187" s="5">
        <f t="shared" si="10"/>
        <v>5.7020613295999997E-3</v>
      </c>
    </row>
    <row r="188" spans="1:20" ht="16.8">
      <c r="A188" s="80">
        <v>174</v>
      </c>
      <c r="B188" t="s">
        <v>315</v>
      </c>
      <c r="C188" s="63">
        <v>46099.656944444447</v>
      </c>
      <c r="D188" t="s">
        <v>316</v>
      </c>
      <c r="E188" t="s">
        <v>336</v>
      </c>
      <c r="F188" t="s">
        <v>69</v>
      </c>
      <c r="G188" s="2" t="s">
        <v>459</v>
      </c>
      <c r="H188" t="s">
        <v>433</v>
      </c>
      <c r="J188" t="s">
        <v>320</v>
      </c>
      <c r="K188">
        <v>53.86</v>
      </c>
      <c r="L188">
        <v>-133</v>
      </c>
      <c r="M188" s="53">
        <v>6205.77</v>
      </c>
      <c r="P188">
        <v>-1</v>
      </c>
      <c r="Q188" s="55">
        <v>0.86631999999999998</v>
      </c>
      <c r="R188" s="61">
        <f t="shared" si="15"/>
        <v>5377.1826664</v>
      </c>
      <c r="S188">
        <f t="shared" si="12"/>
        <v>5377.1826664</v>
      </c>
      <c r="T188" s="5">
        <f t="shared" si="10"/>
        <v>5.3771826663999997E-3</v>
      </c>
    </row>
    <row r="189" spans="1:20" ht="16.8">
      <c r="A189" s="80">
        <v>175</v>
      </c>
      <c r="B189" t="s">
        <v>315</v>
      </c>
      <c r="C189" s="63">
        <v>46099.656944444447</v>
      </c>
      <c r="D189" t="s">
        <v>316</v>
      </c>
      <c r="E189" t="s">
        <v>336</v>
      </c>
      <c r="F189" t="s">
        <v>69</v>
      </c>
      <c r="G189" s="2" t="s">
        <v>489</v>
      </c>
      <c r="H189" t="s">
        <v>433</v>
      </c>
      <c r="J189" t="s">
        <v>320</v>
      </c>
      <c r="K189">
        <v>194.08</v>
      </c>
      <c r="L189">
        <v>-45</v>
      </c>
      <c r="M189" s="53">
        <v>7566.08</v>
      </c>
      <c r="P189">
        <v>-1</v>
      </c>
      <c r="Q189" s="55">
        <v>0.86631999999999998</v>
      </c>
      <c r="R189" s="61">
        <f t="shared" si="15"/>
        <v>6555.6464255999999</v>
      </c>
      <c r="S189">
        <f t="shared" si="12"/>
        <v>6555.6464255999999</v>
      </c>
      <c r="T189" s="5">
        <f t="shared" si="10"/>
        <v>6.5556464255999997E-3</v>
      </c>
    </row>
    <row r="190" spans="1:20" ht="16.8">
      <c r="A190" s="80">
        <v>176</v>
      </c>
      <c r="B190" t="s">
        <v>315</v>
      </c>
      <c r="C190" s="63">
        <v>46099.656944444447</v>
      </c>
      <c r="D190" t="s">
        <v>316</v>
      </c>
      <c r="E190" t="s">
        <v>336</v>
      </c>
      <c r="F190" t="s">
        <v>69</v>
      </c>
      <c r="G190" s="126" t="s">
        <v>451</v>
      </c>
      <c r="H190" t="s">
        <v>433</v>
      </c>
      <c r="J190" t="s">
        <v>320</v>
      </c>
      <c r="K190">
        <v>22.32</v>
      </c>
      <c r="L190">
        <v>-815</v>
      </c>
      <c r="M190" s="53">
        <v>15759.02</v>
      </c>
      <c r="P190">
        <v>-1</v>
      </c>
      <c r="Q190" s="55">
        <v>0.86631999999999998</v>
      </c>
      <c r="R190" s="61">
        <f t="shared" si="15"/>
        <v>13653.354206399999</v>
      </c>
      <c r="S190">
        <f t="shared" si="12"/>
        <v>13653.354206399999</v>
      </c>
      <c r="T190" s="5">
        <f t="shared" si="10"/>
        <v>1.3653354206399999E-2</v>
      </c>
    </row>
    <row r="191" spans="1:20" ht="16.8">
      <c r="A191" s="80">
        <v>177</v>
      </c>
      <c r="B191" t="s">
        <v>315</v>
      </c>
      <c r="C191" s="63">
        <v>46099.656944444447</v>
      </c>
      <c r="D191" t="s">
        <v>316</v>
      </c>
      <c r="E191" t="s">
        <v>336</v>
      </c>
      <c r="F191" t="s">
        <v>69</v>
      </c>
      <c r="G191" s="126" t="s">
        <v>462</v>
      </c>
      <c r="H191" t="s">
        <v>433</v>
      </c>
      <c r="J191" t="s">
        <v>320</v>
      </c>
      <c r="K191">
        <v>27.13</v>
      </c>
      <c r="L191">
        <v>-228</v>
      </c>
      <c r="M191" s="53">
        <v>5358.73</v>
      </c>
      <c r="P191">
        <v>-1</v>
      </c>
      <c r="Q191" s="55">
        <v>0.86631999999999998</v>
      </c>
      <c r="R191" s="61">
        <f t="shared" si="15"/>
        <v>4643.3749735999991</v>
      </c>
      <c r="S191">
        <f t="shared" si="12"/>
        <v>4643.3749735999991</v>
      </c>
      <c r="T191" s="5">
        <f t="shared" si="10"/>
        <v>4.6433749735999988E-3</v>
      </c>
    </row>
    <row r="192" spans="1:20" ht="16.8">
      <c r="A192" s="80">
        <v>178</v>
      </c>
      <c r="B192" t="s">
        <v>315</v>
      </c>
      <c r="C192" s="63">
        <v>46099.656944444447</v>
      </c>
      <c r="D192" t="s">
        <v>316</v>
      </c>
      <c r="E192" t="s">
        <v>336</v>
      </c>
      <c r="F192" t="s">
        <v>69</v>
      </c>
      <c r="G192" s="2" t="s">
        <v>526</v>
      </c>
      <c r="H192" t="s">
        <v>433</v>
      </c>
      <c r="J192" t="s">
        <v>320</v>
      </c>
      <c r="K192">
        <v>132.94</v>
      </c>
      <c r="L192">
        <v>-88</v>
      </c>
      <c r="M192" s="53">
        <v>10134.82</v>
      </c>
      <c r="P192">
        <v>-1</v>
      </c>
      <c r="Q192" s="55">
        <v>0.86631999999999998</v>
      </c>
      <c r="R192" s="61">
        <f t="shared" si="15"/>
        <v>8780.9972624000002</v>
      </c>
      <c r="S192">
        <f t="shared" si="12"/>
        <v>8780.9972624000002</v>
      </c>
      <c r="T192" s="5">
        <f t="shared" si="10"/>
        <v>8.7809972623999998E-3</v>
      </c>
    </row>
    <row r="193" spans="1:20" ht="16.8">
      <c r="A193" s="80">
        <v>179</v>
      </c>
      <c r="B193" t="s">
        <v>315</v>
      </c>
      <c r="C193" s="63">
        <v>46099.656944444447</v>
      </c>
      <c r="D193" t="s">
        <v>316</v>
      </c>
      <c r="E193" t="s">
        <v>336</v>
      </c>
      <c r="F193" t="s">
        <v>69</v>
      </c>
      <c r="G193" s="2" t="s">
        <v>486</v>
      </c>
      <c r="H193" t="s">
        <v>433</v>
      </c>
      <c r="J193" t="s">
        <v>320</v>
      </c>
      <c r="K193">
        <v>56.8</v>
      </c>
      <c r="L193">
        <v>-4</v>
      </c>
      <c r="M193" s="55">
        <v>196.83</v>
      </c>
      <c r="P193">
        <v>-1</v>
      </c>
      <c r="Q193" s="55">
        <v>0.86631999999999998</v>
      </c>
      <c r="R193" s="61">
        <f t="shared" si="15"/>
        <v>171.51776560000002</v>
      </c>
      <c r="S193">
        <f t="shared" si="12"/>
        <v>171.51776560000002</v>
      </c>
      <c r="T193" s="5">
        <f t="shared" si="10"/>
        <v>1.7151776560000003E-4</v>
      </c>
    </row>
    <row r="194" spans="1:20" ht="16.8">
      <c r="A194" s="80">
        <v>180</v>
      </c>
      <c r="B194" t="s">
        <v>315</v>
      </c>
      <c r="C194" s="63">
        <v>46099.656944444447</v>
      </c>
      <c r="D194" t="s">
        <v>316</v>
      </c>
      <c r="E194" t="s">
        <v>336</v>
      </c>
      <c r="F194" t="s">
        <v>69</v>
      </c>
      <c r="G194" s="126" t="s">
        <v>474</v>
      </c>
      <c r="H194" t="s">
        <v>433</v>
      </c>
      <c r="J194" t="s">
        <v>320</v>
      </c>
      <c r="K194">
        <v>171.94</v>
      </c>
      <c r="L194">
        <v>-15</v>
      </c>
      <c r="M194" s="53">
        <v>2234.3200000000002</v>
      </c>
      <c r="P194">
        <v>-1</v>
      </c>
      <c r="Q194" s="55">
        <v>0.86631999999999998</v>
      </c>
      <c r="R194" s="61">
        <f t="shared" si="15"/>
        <v>1936.6361024</v>
      </c>
      <c r="S194">
        <f t="shared" si="12"/>
        <v>1936.6361024</v>
      </c>
      <c r="T194" s="5">
        <f t="shared" si="10"/>
        <v>1.9366361024E-3</v>
      </c>
    </row>
    <row r="195" spans="1:20" ht="16.8">
      <c r="A195" s="80">
        <v>181</v>
      </c>
      <c r="B195" t="s">
        <v>315</v>
      </c>
      <c r="C195" s="63">
        <v>46099.656944444447</v>
      </c>
      <c r="D195" t="s">
        <v>316</v>
      </c>
      <c r="E195" t="s">
        <v>336</v>
      </c>
      <c r="F195" t="s">
        <v>69</v>
      </c>
      <c r="G195" s="2" t="s">
        <v>500</v>
      </c>
      <c r="H195" t="s">
        <v>433</v>
      </c>
      <c r="J195" t="s">
        <v>320</v>
      </c>
      <c r="K195">
        <v>152.55000000000001</v>
      </c>
      <c r="L195">
        <v>-88</v>
      </c>
      <c r="M195" s="53">
        <v>11629.8</v>
      </c>
      <c r="P195">
        <v>-1</v>
      </c>
      <c r="Q195" s="55">
        <v>0.86631999999999998</v>
      </c>
      <c r="R195" s="61">
        <f t="shared" si="15"/>
        <v>10076.128336</v>
      </c>
      <c r="S195">
        <f t="shared" si="12"/>
        <v>10076.128336</v>
      </c>
      <c r="T195" s="5">
        <f t="shared" si="10"/>
        <v>1.0076128336000001E-2</v>
      </c>
    </row>
    <row r="196" spans="1:20" ht="16.8">
      <c r="A196" s="80">
        <v>182</v>
      </c>
      <c r="B196" t="s">
        <v>315</v>
      </c>
      <c r="C196" s="63">
        <v>46099.656944444447</v>
      </c>
      <c r="D196" t="s">
        <v>316</v>
      </c>
      <c r="E196" t="s">
        <v>336</v>
      </c>
      <c r="F196" t="s">
        <v>69</v>
      </c>
      <c r="G196" s="126" t="s">
        <v>483</v>
      </c>
      <c r="H196" t="s">
        <v>433</v>
      </c>
      <c r="J196" t="s">
        <v>320</v>
      </c>
      <c r="K196">
        <v>212.93</v>
      </c>
      <c r="L196">
        <v>-7</v>
      </c>
      <c r="M196" s="53">
        <v>1291.26</v>
      </c>
      <c r="P196">
        <v>-1</v>
      </c>
      <c r="Q196" s="55">
        <v>0.86631999999999998</v>
      </c>
      <c r="R196" s="61">
        <f t="shared" si="15"/>
        <v>1119.6443632</v>
      </c>
      <c r="S196">
        <f t="shared" si="12"/>
        <v>1119.6443632</v>
      </c>
      <c r="T196" s="5">
        <f t="shared" si="10"/>
        <v>1.1196443632E-3</v>
      </c>
    </row>
    <row r="197" spans="1:20" ht="16.8">
      <c r="A197" s="80">
        <v>183</v>
      </c>
      <c r="B197" t="s">
        <v>315</v>
      </c>
      <c r="C197" s="63">
        <v>46099.656944444447</v>
      </c>
      <c r="D197" t="s">
        <v>316</v>
      </c>
      <c r="E197" t="s">
        <v>336</v>
      </c>
      <c r="F197" t="s">
        <v>69</v>
      </c>
      <c r="G197" s="126" t="s">
        <v>455</v>
      </c>
      <c r="H197" t="s">
        <v>433</v>
      </c>
      <c r="J197" t="s">
        <v>320</v>
      </c>
      <c r="K197">
        <v>182.45</v>
      </c>
      <c r="L197">
        <v>-50</v>
      </c>
      <c r="M197" s="53">
        <v>7902.99</v>
      </c>
      <c r="P197">
        <v>-1</v>
      </c>
      <c r="Q197" s="55">
        <v>0.86631999999999998</v>
      </c>
      <c r="R197" s="61">
        <f t="shared" si="15"/>
        <v>6847.5182967999999</v>
      </c>
      <c r="S197">
        <f t="shared" si="12"/>
        <v>6847.5182967999999</v>
      </c>
      <c r="T197" s="5">
        <f t="shared" si="10"/>
        <v>6.8475182967999999E-3</v>
      </c>
    </row>
    <row r="198" spans="1:20" ht="33.6">
      <c r="A198" s="80">
        <v>184</v>
      </c>
      <c r="B198" t="s">
        <v>315</v>
      </c>
      <c r="C198" s="63">
        <v>46099.656944444447</v>
      </c>
      <c r="D198" t="s">
        <v>316</v>
      </c>
      <c r="E198" t="s">
        <v>336</v>
      </c>
      <c r="F198" t="s">
        <v>69</v>
      </c>
      <c r="G198" s="127" t="s">
        <v>517</v>
      </c>
      <c r="H198" t="s">
        <v>433</v>
      </c>
      <c r="J198" t="s">
        <v>320</v>
      </c>
      <c r="K198">
        <v>301.42</v>
      </c>
      <c r="L198">
        <v>-11</v>
      </c>
      <c r="M198" s="53">
        <v>2872.38</v>
      </c>
      <c r="P198">
        <v>-1</v>
      </c>
      <c r="Q198" s="55">
        <v>0.86631999999999998</v>
      </c>
      <c r="R198" s="61">
        <f t="shared" si="15"/>
        <v>2489.4002415999998</v>
      </c>
      <c r="S198">
        <f t="shared" si="12"/>
        <v>2489.4002415999998</v>
      </c>
      <c r="T198" s="5">
        <f t="shared" si="10"/>
        <v>2.4894002415999997E-3</v>
      </c>
    </row>
    <row r="199" spans="1:20" ht="16.8">
      <c r="A199" s="80">
        <v>185</v>
      </c>
      <c r="B199" t="s">
        <v>315</v>
      </c>
      <c r="C199" s="63">
        <v>46099.656944444447</v>
      </c>
      <c r="D199" t="s">
        <v>316</v>
      </c>
      <c r="E199" t="s">
        <v>336</v>
      </c>
      <c r="F199" t="s">
        <v>69</v>
      </c>
      <c r="G199" s="126" t="s">
        <v>518</v>
      </c>
      <c r="H199" t="s">
        <v>433</v>
      </c>
      <c r="J199" t="s">
        <v>320</v>
      </c>
      <c r="K199">
        <v>485.85</v>
      </c>
      <c r="L199">
        <v>-5</v>
      </c>
      <c r="M199" s="53">
        <v>2104.5</v>
      </c>
      <c r="P199">
        <v>-1</v>
      </c>
      <c r="Q199" s="55">
        <v>0.86631999999999998</v>
      </c>
      <c r="R199" s="61">
        <f t="shared" si="15"/>
        <v>1824.1704399999999</v>
      </c>
      <c r="S199">
        <f t="shared" si="12"/>
        <v>1824.1704399999999</v>
      </c>
      <c r="T199" s="5">
        <f t="shared" si="10"/>
        <v>1.8241704399999999E-3</v>
      </c>
    </row>
    <row r="200" spans="1:20" ht="16.8">
      <c r="A200" s="80">
        <v>186</v>
      </c>
      <c r="B200" t="s">
        <v>315</v>
      </c>
      <c r="C200" s="63">
        <v>46099.656944444447</v>
      </c>
      <c r="D200" t="s">
        <v>316</v>
      </c>
      <c r="E200" t="s">
        <v>336</v>
      </c>
      <c r="F200" t="s">
        <v>69</v>
      </c>
      <c r="G200" s="2" t="s">
        <v>448</v>
      </c>
      <c r="H200" t="s">
        <v>433</v>
      </c>
      <c r="J200" t="s">
        <v>320</v>
      </c>
      <c r="K200">
        <v>49.64</v>
      </c>
      <c r="L200">
        <v>-650</v>
      </c>
      <c r="M200" s="53">
        <v>27952.63</v>
      </c>
      <c r="P200">
        <v>-1</v>
      </c>
      <c r="Q200" s="55">
        <v>0.86631999999999998</v>
      </c>
      <c r="R200" s="61">
        <f t="shared" si="15"/>
        <v>24216.9224216</v>
      </c>
      <c r="S200">
        <f t="shared" si="12"/>
        <v>24216.9224216</v>
      </c>
      <c r="T200" s="5">
        <f t="shared" ref="T200:T253" si="16">S200/1000000</f>
        <v>2.42169224216E-2</v>
      </c>
    </row>
    <row r="201" spans="1:20" ht="16.8">
      <c r="A201" s="80">
        <v>187</v>
      </c>
      <c r="B201" t="s">
        <v>315</v>
      </c>
      <c r="C201" s="63">
        <v>46099.656944444447</v>
      </c>
      <c r="D201" t="s">
        <v>316</v>
      </c>
      <c r="E201" t="s">
        <v>336</v>
      </c>
      <c r="F201" t="s">
        <v>69</v>
      </c>
      <c r="G201" s="2" t="s">
        <v>488</v>
      </c>
      <c r="H201" t="s">
        <v>433</v>
      </c>
      <c r="J201" t="s">
        <v>320</v>
      </c>
      <c r="K201">
        <v>199.87</v>
      </c>
      <c r="L201">
        <v>-1</v>
      </c>
      <c r="M201" s="55">
        <v>173.15</v>
      </c>
      <c r="P201">
        <v>-1</v>
      </c>
      <c r="Q201" s="55">
        <v>0.86631999999999998</v>
      </c>
      <c r="R201" s="61">
        <f t="shared" si="15"/>
        <v>151.003308</v>
      </c>
      <c r="S201">
        <f t="shared" si="12"/>
        <v>151.003308</v>
      </c>
      <c r="T201" s="5">
        <f t="shared" si="16"/>
        <v>1.5100330799999999E-4</v>
      </c>
    </row>
    <row r="202" spans="1:20" ht="16.8">
      <c r="A202" s="80">
        <v>188</v>
      </c>
      <c r="B202" t="s">
        <v>315</v>
      </c>
      <c r="C202" s="63">
        <v>46099.656944444447</v>
      </c>
      <c r="D202" t="s">
        <v>316</v>
      </c>
      <c r="E202" t="s">
        <v>336</v>
      </c>
      <c r="F202" t="s">
        <v>69</v>
      </c>
      <c r="G202" s="2" t="s">
        <v>487</v>
      </c>
      <c r="H202" t="s">
        <v>433</v>
      </c>
      <c r="J202" t="s">
        <v>320</v>
      </c>
      <c r="K202">
        <v>78.849999999999994</v>
      </c>
      <c r="L202">
        <v>-121</v>
      </c>
      <c r="M202" s="53">
        <v>8265.41</v>
      </c>
      <c r="P202">
        <v>-1</v>
      </c>
      <c r="Q202" s="55">
        <v>0.86631999999999998</v>
      </c>
      <c r="R202" s="61">
        <f t="shared" si="15"/>
        <v>7161.4899912000001</v>
      </c>
      <c r="S202">
        <f t="shared" si="12"/>
        <v>7161.4899912000001</v>
      </c>
      <c r="T202" s="5">
        <f t="shared" si="16"/>
        <v>7.1614899911999997E-3</v>
      </c>
    </row>
    <row r="203" spans="1:20" ht="16.8">
      <c r="A203" s="80">
        <v>189</v>
      </c>
      <c r="B203" t="s">
        <v>315</v>
      </c>
      <c r="C203" s="63">
        <v>46099.656944444447</v>
      </c>
      <c r="D203" t="s">
        <v>316</v>
      </c>
      <c r="E203" t="s">
        <v>336</v>
      </c>
      <c r="F203" t="s">
        <v>69</v>
      </c>
      <c r="G203" s="126" t="s">
        <v>476</v>
      </c>
      <c r="H203" t="s">
        <v>433</v>
      </c>
      <c r="J203" t="s">
        <v>320</v>
      </c>
      <c r="K203">
        <v>101.19</v>
      </c>
      <c r="L203">
        <v>-24</v>
      </c>
      <c r="M203" s="53">
        <v>2103.91</v>
      </c>
      <c r="P203">
        <v>-1</v>
      </c>
      <c r="Q203" s="55">
        <v>0.86631999999999998</v>
      </c>
      <c r="R203" s="61">
        <f t="shared" si="15"/>
        <v>1823.6593111999998</v>
      </c>
      <c r="S203">
        <f t="shared" si="12"/>
        <v>1823.6593111999998</v>
      </c>
      <c r="T203" s="5">
        <f t="shared" si="16"/>
        <v>1.8236593111999998E-3</v>
      </c>
    </row>
    <row r="204" spans="1:20" ht="16.8">
      <c r="A204" s="80">
        <v>190</v>
      </c>
      <c r="B204" t="s">
        <v>315</v>
      </c>
      <c r="C204" s="63">
        <v>46099.656944444447</v>
      </c>
      <c r="D204" t="s">
        <v>316</v>
      </c>
      <c r="E204" t="s">
        <v>336</v>
      </c>
      <c r="F204" t="s">
        <v>69</v>
      </c>
      <c r="G204" s="2" t="s">
        <v>494</v>
      </c>
      <c r="H204" t="s">
        <v>433</v>
      </c>
      <c r="J204" t="s">
        <v>320</v>
      </c>
      <c r="K204">
        <v>92.86</v>
      </c>
      <c r="L204">
        <v>-134</v>
      </c>
      <c r="M204" s="53">
        <v>10779.81</v>
      </c>
      <c r="P204">
        <v>-1</v>
      </c>
      <c r="Q204" s="55">
        <v>0.86631999999999998</v>
      </c>
      <c r="R204" s="61">
        <f t="shared" si="15"/>
        <v>9339.7649991999988</v>
      </c>
      <c r="S204">
        <f t="shared" si="12"/>
        <v>9339.7649991999988</v>
      </c>
      <c r="T204" s="5">
        <f t="shared" si="16"/>
        <v>9.3397649991999992E-3</v>
      </c>
    </row>
    <row r="205" spans="1:20" ht="16.8">
      <c r="A205" s="80">
        <v>191</v>
      </c>
      <c r="B205" t="s">
        <v>315</v>
      </c>
      <c r="C205" s="63">
        <v>46099.656944444447</v>
      </c>
      <c r="D205" t="s">
        <v>316</v>
      </c>
      <c r="E205" t="s">
        <v>336</v>
      </c>
      <c r="F205" t="s">
        <v>69</v>
      </c>
      <c r="G205" s="126" t="s">
        <v>453</v>
      </c>
      <c r="H205" t="s">
        <v>433</v>
      </c>
      <c r="J205" t="s">
        <v>320</v>
      </c>
      <c r="K205">
        <v>131.97999999999999</v>
      </c>
      <c r="L205">
        <v>-99</v>
      </c>
      <c r="M205" s="53">
        <v>11319.33</v>
      </c>
      <c r="P205">
        <v>-1</v>
      </c>
      <c r="Q205" s="55">
        <v>0.86631999999999998</v>
      </c>
      <c r="R205" s="61">
        <f t="shared" si="15"/>
        <v>9807.1619656000003</v>
      </c>
      <c r="S205">
        <f t="shared" si="12"/>
        <v>9807.1619656000003</v>
      </c>
      <c r="T205" s="5">
        <f t="shared" si="16"/>
        <v>9.807161965600001E-3</v>
      </c>
    </row>
    <row r="206" spans="1:20" ht="16.8">
      <c r="A206" s="80">
        <v>192</v>
      </c>
      <c r="B206" t="s">
        <v>315</v>
      </c>
      <c r="C206" s="63">
        <v>46099.656944444447</v>
      </c>
      <c r="D206" t="s">
        <v>316</v>
      </c>
      <c r="E206" t="s">
        <v>336</v>
      </c>
      <c r="F206" t="s">
        <v>69</v>
      </c>
      <c r="G206" s="126" t="s">
        <v>471</v>
      </c>
      <c r="H206" t="s">
        <v>433</v>
      </c>
      <c r="J206" t="s">
        <v>320</v>
      </c>
      <c r="K206">
        <v>168.06</v>
      </c>
      <c r="L206">
        <v>-25</v>
      </c>
      <c r="M206" s="53">
        <v>3639.84</v>
      </c>
      <c r="P206">
        <v>-1</v>
      </c>
      <c r="Q206" s="55">
        <v>0.86631999999999998</v>
      </c>
      <c r="R206" s="61">
        <f t="shared" si="15"/>
        <v>3154.2661888000002</v>
      </c>
      <c r="S206">
        <f t="shared" si="12"/>
        <v>3154.2661888000002</v>
      </c>
      <c r="T206" s="5">
        <f t="shared" si="16"/>
        <v>3.1542661888000001E-3</v>
      </c>
    </row>
    <row r="207" spans="1:20" ht="16.8">
      <c r="A207" s="80">
        <v>193</v>
      </c>
      <c r="B207" t="s">
        <v>315</v>
      </c>
      <c r="C207" s="63">
        <v>46099.656944444447</v>
      </c>
      <c r="D207" t="s">
        <v>316</v>
      </c>
      <c r="E207" t="s">
        <v>336</v>
      </c>
      <c r="F207" t="s">
        <v>69</v>
      </c>
      <c r="G207" s="2" t="s">
        <v>492</v>
      </c>
      <c r="H207" t="s">
        <v>433</v>
      </c>
      <c r="J207" t="s">
        <v>320</v>
      </c>
      <c r="K207">
        <v>429.4</v>
      </c>
      <c r="L207">
        <v>-1</v>
      </c>
      <c r="M207" s="55">
        <v>372</v>
      </c>
      <c r="P207">
        <v>-1</v>
      </c>
      <c r="Q207" s="55">
        <v>0.86631999999999998</v>
      </c>
      <c r="R207" s="61">
        <f t="shared" si="15"/>
        <v>323.27103999999997</v>
      </c>
      <c r="S207">
        <f t="shared" si="12"/>
        <v>323.27103999999997</v>
      </c>
      <c r="T207" s="5">
        <f t="shared" si="16"/>
        <v>3.2327103999999998E-4</v>
      </c>
    </row>
    <row r="208" spans="1:20" ht="16.8">
      <c r="A208" s="80">
        <v>194</v>
      </c>
      <c r="B208" t="s">
        <v>315</v>
      </c>
      <c r="C208" s="63">
        <v>46099.656944444447</v>
      </c>
      <c r="D208" t="s">
        <v>316</v>
      </c>
      <c r="E208" t="s">
        <v>336</v>
      </c>
      <c r="F208" t="s">
        <v>69</v>
      </c>
      <c r="G208" s="2" t="s">
        <v>490</v>
      </c>
      <c r="H208" t="s">
        <v>433</v>
      </c>
      <c r="J208" t="s">
        <v>320</v>
      </c>
      <c r="K208">
        <v>118.22</v>
      </c>
      <c r="L208">
        <v>-1</v>
      </c>
      <c r="M208" s="55">
        <v>102.42</v>
      </c>
      <c r="P208">
        <v>-1</v>
      </c>
      <c r="Q208" s="55">
        <v>0.86631999999999998</v>
      </c>
      <c r="R208" s="61">
        <f t="shared" si="15"/>
        <v>89.728494400000002</v>
      </c>
      <c r="S208">
        <f t="shared" si="12"/>
        <v>89.728494400000002</v>
      </c>
      <c r="T208" s="5">
        <f t="shared" si="16"/>
        <v>8.9728494400000003E-5</v>
      </c>
    </row>
    <row r="209" spans="1:20" ht="16.8">
      <c r="A209" s="80">
        <v>195</v>
      </c>
      <c r="B209" t="s">
        <v>315</v>
      </c>
      <c r="C209" s="63">
        <v>46099.656944444447</v>
      </c>
      <c r="D209" t="s">
        <v>316</v>
      </c>
      <c r="E209" t="s">
        <v>336</v>
      </c>
      <c r="F209" t="s">
        <v>69</v>
      </c>
      <c r="G209" s="126" t="s">
        <v>460</v>
      </c>
      <c r="H209" t="s">
        <v>433</v>
      </c>
      <c r="J209" t="s">
        <v>320</v>
      </c>
      <c r="K209">
        <v>122.95</v>
      </c>
      <c r="L209">
        <v>-63</v>
      </c>
      <c r="M209" s="53">
        <v>6710.37</v>
      </c>
      <c r="P209">
        <v>-1</v>
      </c>
      <c r="Q209" s="55">
        <v>0.86631999999999998</v>
      </c>
      <c r="R209" s="61">
        <f t="shared" si="15"/>
        <v>5814.3277383999994</v>
      </c>
      <c r="S209">
        <f t="shared" si="12"/>
        <v>5814.3277383999994</v>
      </c>
      <c r="T209" s="5">
        <f t="shared" si="16"/>
        <v>5.8143277383999993E-3</v>
      </c>
    </row>
    <row r="210" spans="1:20" ht="16.8">
      <c r="A210" s="80">
        <v>196</v>
      </c>
      <c r="B210" t="s">
        <v>315</v>
      </c>
      <c r="C210" s="63">
        <v>46099.656944444447</v>
      </c>
      <c r="D210" t="s">
        <v>316</v>
      </c>
      <c r="E210" t="s">
        <v>336</v>
      </c>
      <c r="F210" t="s">
        <v>69</v>
      </c>
      <c r="G210" s="2" t="s">
        <v>491</v>
      </c>
      <c r="H210" t="s">
        <v>433</v>
      </c>
      <c r="J210" t="s">
        <v>320</v>
      </c>
      <c r="K210">
        <v>48.13</v>
      </c>
      <c r="L210">
        <v>-243</v>
      </c>
      <c r="M210" s="53">
        <v>10132.1</v>
      </c>
      <c r="P210">
        <v>-1</v>
      </c>
      <c r="Q210" s="55">
        <v>0.86631999999999998</v>
      </c>
      <c r="R210" s="61">
        <f t="shared" si="15"/>
        <v>8778.6408719999999</v>
      </c>
      <c r="S210">
        <f t="shared" si="12"/>
        <v>8778.6408719999999</v>
      </c>
      <c r="T210" s="5">
        <f t="shared" si="16"/>
        <v>8.7786408720000007E-3</v>
      </c>
    </row>
    <row r="211" spans="1:20" ht="16.8">
      <c r="A211" s="80">
        <v>197</v>
      </c>
      <c r="B211" t="s">
        <v>315</v>
      </c>
      <c r="C211" s="63">
        <v>46099.656944444447</v>
      </c>
      <c r="D211" t="s">
        <v>316</v>
      </c>
      <c r="E211" t="s">
        <v>336</v>
      </c>
      <c r="F211" t="s">
        <v>69</v>
      </c>
      <c r="G211" s="126" t="s">
        <v>473</v>
      </c>
      <c r="H211" t="s">
        <v>433</v>
      </c>
      <c r="J211" t="s">
        <v>320</v>
      </c>
      <c r="K211">
        <v>309.49</v>
      </c>
      <c r="L211">
        <v>-17</v>
      </c>
      <c r="M211" s="53">
        <v>4557.99</v>
      </c>
      <c r="P211">
        <v>-1</v>
      </c>
      <c r="Q211" s="55">
        <v>0.86631999999999998</v>
      </c>
      <c r="R211" s="61">
        <f t="shared" si="15"/>
        <v>3949.6778967999999</v>
      </c>
      <c r="S211">
        <f t="shared" si="12"/>
        <v>3949.6778967999999</v>
      </c>
      <c r="T211" s="5">
        <f t="shared" si="16"/>
        <v>3.9496778968000001E-3</v>
      </c>
    </row>
    <row r="212" spans="1:20" ht="16.8">
      <c r="A212" s="80">
        <v>198</v>
      </c>
      <c r="B212" t="s">
        <v>315</v>
      </c>
      <c r="C212" s="63">
        <v>46099.656944444447</v>
      </c>
      <c r="D212" t="s">
        <v>316</v>
      </c>
      <c r="E212" t="s">
        <v>336</v>
      </c>
      <c r="F212" t="s">
        <v>69</v>
      </c>
      <c r="G212" s="126" t="s">
        <v>464</v>
      </c>
      <c r="H212" t="s">
        <v>433</v>
      </c>
      <c r="J212" t="s">
        <v>320</v>
      </c>
      <c r="K212">
        <v>58.07</v>
      </c>
      <c r="L212">
        <v>-106</v>
      </c>
      <c r="M212">
        <v>5332.55</v>
      </c>
      <c r="P212">
        <v>-1</v>
      </c>
      <c r="Q212" s="55">
        <v>0.86631999999999998</v>
      </c>
      <c r="R212" s="61">
        <f t="shared" si="15"/>
        <v>4620.694716</v>
      </c>
      <c r="S212">
        <f t="shared" si="12"/>
        <v>4620.694716</v>
      </c>
      <c r="T212" s="5">
        <f t="shared" si="16"/>
        <v>4.6206947159999996E-3</v>
      </c>
    </row>
    <row r="213" spans="1:20" ht="16.8">
      <c r="A213" s="80">
        <v>199</v>
      </c>
      <c r="B213" t="s">
        <v>315</v>
      </c>
      <c r="C213" s="63">
        <v>46099.656944444447</v>
      </c>
      <c r="D213" t="s">
        <v>316</v>
      </c>
      <c r="E213" t="s">
        <v>336</v>
      </c>
      <c r="F213" t="s">
        <v>69</v>
      </c>
      <c r="G213" s="2" t="s">
        <v>499</v>
      </c>
      <c r="H213" t="s">
        <v>433</v>
      </c>
      <c r="J213" t="s">
        <v>320</v>
      </c>
      <c r="K213">
        <v>117.81</v>
      </c>
      <c r="L213">
        <v>-112</v>
      </c>
      <c r="M213" s="53">
        <v>11430.83</v>
      </c>
      <c r="P213">
        <v>-1</v>
      </c>
      <c r="Q213" s="55">
        <v>0.86631999999999998</v>
      </c>
      <c r="R213" s="61">
        <f t="shared" si="15"/>
        <v>9903.7566456000004</v>
      </c>
      <c r="S213">
        <f t="shared" si="12"/>
        <v>9903.7566456000004</v>
      </c>
      <c r="T213" s="5">
        <f t="shared" si="16"/>
        <v>9.9037566456000002E-3</v>
      </c>
    </row>
    <row r="214" spans="1:20" ht="16.8">
      <c r="A214" s="80">
        <v>200</v>
      </c>
      <c r="B214" t="s">
        <v>315</v>
      </c>
      <c r="C214" s="63">
        <v>46099.656944444447</v>
      </c>
      <c r="D214" t="s">
        <v>316</v>
      </c>
      <c r="E214" t="s">
        <v>336</v>
      </c>
      <c r="F214" t="s">
        <v>69</v>
      </c>
      <c r="G214" s="126" t="s">
        <v>454</v>
      </c>
      <c r="H214" t="s">
        <v>433</v>
      </c>
      <c r="J214" t="s">
        <v>320</v>
      </c>
      <c r="K214" s="55">
        <v>52.08</v>
      </c>
      <c r="L214">
        <v>-188</v>
      </c>
      <c r="M214" s="53">
        <v>8482.16</v>
      </c>
      <c r="P214">
        <v>-1</v>
      </c>
      <c r="Q214" s="55">
        <v>0.86631999999999998</v>
      </c>
      <c r="R214" s="61">
        <f t="shared" si="15"/>
        <v>7349.2648511999996</v>
      </c>
      <c r="S214">
        <f t="shared" si="12"/>
        <v>7349.2648511999996</v>
      </c>
      <c r="T214" s="5">
        <f t="shared" si="16"/>
        <v>7.3492648511999997E-3</v>
      </c>
    </row>
    <row r="215" spans="1:20" ht="16.8">
      <c r="A215" s="80">
        <v>201</v>
      </c>
      <c r="B215" t="s">
        <v>315</v>
      </c>
      <c r="C215" s="63">
        <v>46099.656944444447</v>
      </c>
      <c r="D215" t="s">
        <v>316</v>
      </c>
      <c r="E215" t="s">
        <v>336</v>
      </c>
      <c r="F215" t="s">
        <v>69</v>
      </c>
      <c r="G215" s="2" t="s">
        <v>496</v>
      </c>
      <c r="H215" t="s">
        <v>433</v>
      </c>
      <c r="J215" t="s">
        <v>320</v>
      </c>
      <c r="K215" s="55">
        <v>206.91</v>
      </c>
      <c r="L215">
        <v>-14</v>
      </c>
      <c r="M215" s="53">
        <v>2509.5</v>
      </c>
      <c r="P215">
        <v>-1</v>
      </c>
      <c r="Q215" s="55">
        <v>0.86631999999999998</v>
      </c>
      <c r="R215" s="61">
        <f t="shared" si="15"/>
        <v>2175.0300400000001</v>
      </c>
      <c r="S215">
        <f t="shared" si="12"/>
        <v>2175.0300400000001</v>
      </c>
      <c r="T215" s="5">
        <f t="shared" si="16"/>
        <v>2.1750300399999999E-3</v>
      </c>
    </row>
    <row r="216" spans="1:20" ht="16.8">
      <c r="A216" s="80">
        <v>202</v>
      </c>
      <c r="B216" t="s">
        <v>315</v>
      </c>
      <c r="C216" s="63">
        <v>46099.656944444447</v>
      </c>
      <c r="D216" t="s">
        <v>316</v>
      </c>
      <c r="E216" t="s">
        <v>336</v>
      </c>
      <c r="F216" t="s">
        <v>69</v>
      </c>
      <c r="G216" s="126" t="s">
        <v>472</v>
      </c>
      <c r="H216" t="s">
        <v>433</v>
      </c>
      <c r="J216" t="s">
        <v>320</v>
      </c>
      <c r="K216" s="55">
        <v>56.72</v>
      </c>
      <c r="L216">
        <v>-52</v>
      </c>
      <c r="M216" s="53">
        <v>2555.15</v>
      </c>
      <c r="P216">
        <v>-1</v>
      </c>
      <c r="Q216" s="55">
        <v>0.86631999999999998</v>
      </c>
      <c r="R216" s="61">
        <f t="shared" si="15"/>
        <v>2214.5775480000002</v>
      </c>
      <c r="S216">
        <f t="shared" si="12"/>
        <v>2214.5775480000002</v>
      </c>
      <c r="T216" s="5">
        <f t="shared" si="16"/>
        <v>2.2145775480000001E-3</v>
      </c>
    </row>
    <row r="217" spans="1:20" ht="16.8">
      <c r="A217" s="80">
        <v>203</v>
      </c>
      <c r="B217" t="s">
        <v>315</v>
      </c>
      <c r="C217" s="63">
        <v>46099.656944444447</v>
      </c>
      <c r="D217" t="s">
        <v>316</v>
      </c>
      <c r="E217" t="s">
        <v>336</v>
      </c>
      <c r="F217" t="s">
        <v>69</v>
      </c>
      <c r="G217" s="126" t="s">
        <v>479</v>
      </c>
      <c r="H217" t="s">
        <v>433</v>
      </c>
      <c r="J217" t="s">
        <v>320</v>
      </c>
      <c r="K217" s="55">
        <v>44.64</v>
      </c>
      <c r="L217">
        <v>-36</v>
      </c>
      <c r="M217" s="53">
        <v>1392.21</v>
      </c>
      <c r="P217">
        <v>-1</v>
      </c>
      <c r="Q217" s="55">
        <v>0.86631999999999998</v>
      </c>
      <c r="R217" s="61">
        <f t="shared" si="15"/>
        <v>1207.0993672</v>
      </c>
      <c r="S217">
        <f t="shared" si="12"/>
        <v>1207.0993672</v>
      </c>
      <c r="T217" s="5">
        <f t="shared" si="16"/>
        <v>1.2070993671999999E-3</v>
      </c>
    </row>
    <row r="218" spans="1:20" ht="16.8">
      <c r="A218" s="80">
        <v>204</v>
      </c>
      <c r="B218" t="s">
        <v>315</v>
      </c>
      <c r="C218" s="63">
        <v>46099.656944444447</v>
      </c>
      <c r="D218" t="s">
        <v>316</v>
      </c>
      <c r="E218" t="s">
        <v>336</v>
      </c>
      <c r="F218" t="s">
        <v>69</v>
      </c>
      <c r="G218" s="126" t="s">
        <v>480</v>
      </c>
      <c r="H218" t="s">
        <v>433</v>
      </c>
      <c r="J218" t="s">
        <v>320</v>
      </c>
      <c r="K218" s="55">
        <v>200.71</v>
      </c>
      <c r="L218">
        <v>-35</v>
      </c>
      <c r="M218" s="53">
        <v>6085.76</v>
      </c>
      <c r="P218">
        <v>-1</v>
      </c>
      <c r="Q218" s="55">
        <v>0.86631999999999998</v>
      </c>
      <c r="R218" s="61">
        <f t="shared" si="15"/>
        <v>5273.2156032000003</v>
      </c>
      <c r="S218">
        <f t="shared" si="12"/>
        <v>5273.2156032000003</v>
      </c>
      <c r="T218" s="5">
        <f t="shared" si="16"/>
        <v>5.2732156031999999E-3</v>
      </c>
    </row>
    <row r="219" spans="1:20" ht="16.8">
      <c r="A219" s="80">
        <v>205</v>
      </c>
      <c r="B219" t="s">
        <v>315</v>
      </c>
      <c r="C219" s="63">
        <v>46099.656944444447</v>
      </c>
      <c r="D219" t="s">
        <v>316</v>
      </c>
      <c r="E219" t="s">
        <v>336</v>
      </c>
      <c r="F219" t="s">
        <v>69</v>
      </c>
      <c r="G219" s="2" t="s">
        <v>458</v>
      </c>
      <c r="H219" t="s">
        <v>433</v>
      </c>
      <c r="J219" t="s">
        <v>320</v>
      </c>
      <c r="K219" s="55">
        <v>52.31</v>
      </c>
      <c r="L219">
        <v>-168</v>
      </c>
      <c r="M219" s="53">
        <v>7613.28</v>
      </c>
      <c r="P219">
        <v>-1</v>
      </c>
      <c r="Q219" s="55">
        <v>0.86631999999999998</v>
      </c>
      <c r="R219" s="61">
        <f t="shared" si="15"/>
        <v>6596.5367295999995</v>
      </c>
      <c r="S219">
        <f t="shared" si="12"/>
        <v>6596.5367295999995</v>
      </c>
      <c r="T219" s="5">
        <f t="shared" si="16"/>
        <v>6.5965367295999994E-3</v>
      </c>
    </row>
    <row r="220" spans="1:20" ht="16.8">
      <c r="A220" s="80">
        <v>206</v>
      </c>
      <c r="B220" t="s">
        <v>315</v>
      </c>
      <c r="C220" s="63">
        <v>46099.656944444447</v>
      </c>
      <c r="D220" t="s">
        <v>316</v>
      </c>
      <c r="E220" t="s">
        <v>336</v>
      </c>
      <c r="F220" t="s">
        <v>69</v>
      </c>
      <c r="G220" s="2" t="s">
        <v>495</v>
      </c>
      <c r="H220" t="s">
        <v>433</v>
      </c>
      <c r="J220" t="s">
        <v>320</v>
      </c>
      <c r="K220" s="55">
        <v>228.88</v>
      </c>
      <c r="L220">
        <v>-55</v>
      </c>
      <c r="M220" s="53">
        <v>10905.56</v>
      </c>
      <c r="P220">
        <v>-1</v>
      </c>
      <c r="Q220" s="55">
        <v>0.86631999999999998</v>
      </c>
      <c r="R220" s="61">
        <f t="shared" si="15"/>
        <v>9448.7047391999986</v>
      </c>
      <c r="S220">
        <f t="shared" si="12"/>
        <v>9448.7047391999986</v>
      </c>
      <c r="T220" s="5">
        <f t="shared" si="16"/>
        <v>9.4487047391999986E-3</v>
      </c>
    </row>
    <row r="221" spans="1:20" ht="16.8">
      <c r="A221" s="80">
        <v>207</v>
      </c>
      <c r="B221" t="s">
        <v>315</v>
      </c>
      <c r="C221" s="63">
        <v>46099.656944444447</v>
      </c>
      <c r="D221" t="s">
        <v>316</v>
      </c>
      <c r="E221" t="s">
        <v>336</v>
      </c>
      <c r="F221" t="s">
        <v>69</v>
      </c>
      <c r="G221" s="126" t="s">
        <v>482</v>
      </c>
      <c r="H221" t="s">
        <v>433</v>
      </c>
      <c r="J221" t="s">
        <v>320</v>
      </c>
      <c r="K221" s="55">
        <v>354.5</v>
      </c>
      <c r="L221">
        <v>-21</v>
      </c>
      <c r="M221" s="53">
        <v>6449.31</v>
      </c>
      <c r="P221">
        <v>-1</v>
      </c>
      <c r="Q221" s="55">
        <v>0.86631999999999998</v>
      </c>
      <c r="R221" s="61">
        <f t="shared" si="15"/>
        <v>5588.1662391999998</v>
      </c>
      <c r="S221">
        <f t="shared" si="12"/>
        <v>5588.1662391999998</v>
      </c>
      <c r="T221" s="5">
        <f t="shared" si="16"/>
        <v>5.5881662391999995E-3</v>
      </c>
    </row>
    <row r="222" spans="1:20" ht="16.8">
      <c r="A222" s="80">
        <v>208</v>
      </c>
      <c r="B222" t="s">
        <v>315</v>
      </c>
      <c r="C222" s="63">
        <v>46099.656944444447</v>
      </c>
      <c r="D222" t="s">
        <v>316</v>
      </c>
      <c r="E222" t="s">
        <v>336</v>
      </c>
      <c r="F222" t="s">
        <v>69</v>
      </c>
      <c r="G222" s="126" t="s">
        <v>450</v>
      </c>
      <c r="H222" t="s">
        <v>433</v>
      </c>
      <c r="J222" t="s">
        <v>320</v>
      </c>
      <c r="K222" s="55">
        <v>22.46</v>
      </c>
      <c r="L222">
        <v>-958</v>
      </c>
      <c r="M222" s="53">
        <v>18640.3</v>
      </c>
      <c r="P222">
        <v>-1</v>
      </c>
      <c r="Q222" s="55">
        <v>0.86631999999999998</v>
      </c>
      <c r="R222" s="61">
        <f t="shared" si="15"/>
        <v>16149.464695999999</v>
      </c>
      <c r="S222">
        <f t="shared" si="12"/>
        <v>16149.464695999999</v>
      </c>
      <c r="T222" s="5">
        <f t="shared" si="16"/>
        <v>1.6149464695999999E-2</v>
      </c>
    </row>
    <row r="223" spans="1:20" ht="16.8">
      <c r="A223" s="80">
        <v>209</v>
      </c>
      <c r="B223" t="s">
        <v>375</v>
      </c>
      <c r="C223" s="63">
        <v>46099.656944444447</v>
      </c>
      <c r="D223" t="s">
        <v>316</v>
      </c>
      <c r="E223" t="s">
        <v>336</v>
      </c>
      <c r="F223" t="s">
        <v>13</v>
      </c>
      <c r="G223" s="126" t="s">
        <v>527</v>
      </c>
      <c r="H223" t="s">
        <v>13</v>
      </c>
      <c r="J223" t="s">
        <v>320</v>
      </c>
      <c r="K223" s="55">
        <v>598.83000000000004</v>
      </c>
      <c r="L223">
        <v>-200</v>
      </c>
      <c r="M223" s="53">
        <v>103755.49</v>
      </c>
      <c r="P223">
        <v>0</v>
      </c>
      <c r="Q223" s="55">
        <v>0.86631999999999998</v>
      </c>
      <c r="R223" s="61">
        <f t="shared" si="15"/>
        <v>89885.456096800001</v>
      </c>
      <c r="S223">
        <f t="shared" si="12"/>
        <v>89885.456096800001</v>
      </c>
      <c r="T223" s="5">
        <f t="shared" si="16"/>
        <v>8.9885456096800001E-2</v>
      </c>
    </row>
    <row r="224" spans="1:20" ht="16.8">
      <c r="A224" s="80">
        <v>210</v>
      </c>
      <c r="B224" t="s">
        <v>375</v>
      </c>
      <c r="C224" s="63">
        <v>46099.656944444447</v>
      </c>
      <c r="D224" t="s">
        <v>316</v>
      </c>
      <c r="E224" t="s">
        <v>336</v>
      </c>
      <c r="F224" t="s">
        <v>345</v>
      </c>
      <c r="G224" s="126" t="s">
        <v>10</v>
      </c>
      <c r="H224" t="s">
        <v>347</v>
      </c>
      <c r="I224" s="80" t="s">
        <v>14</v>
      </c>
      <c r="J224" t="s">
        <v>320</v>
      </c>
      <c r="K224" s="55">
        <v>4.4400000000000004</v>
      </c>
      <c r="L224">
        <v>-12</v>
      </c>
      <c r="M224" s="53">
        <v>4615.74</v>
      </c>
      <c r="P224">
        <v>-1</v>
      </c>
      <c r="Q224" s="55">
        <v>0.86631999999999998</v>
      </c>
      <c r="R224" s="61">
        <f t="shared" si="15"/>
        <v>3999.7078767999997</v>
      </c>
      <c r="S224">
        <f t="shared" si="12"/>
        <v>3999.7078767999997</v>
      </c>
      <c r="T224" s="5">
        <f t="shared" si="16"/>
        <v>3.9997078767999997E-3</v>
      </c>
    </row>
    <row r="225" spans="1:20" ht="16.8">
      <c r="A225" s="80">
        <v>211</v>
      </c>
      <c r="B225" t="s">
        <v>375</v>
      </c>
      <c r="C225" s="63">
        <v>46099.656944444447</v>
      </c>
      <c r="D225" t="s">
        <v>316</v>
      </c>
      <c r="E225" t="s">
        <v>336</v>
      </c>
      <c r="F225" t="s">
        <v>69</v>
      </c>
      <c r="G225" s="126" t="s">
        <v>527</v>
      </c>
      <c r="H225" t="s">
        <v>13</v>
      </c>
      <c r="J225" t="s">
        <v>320</v>
      </c>
      <c r="K225" s="55">
        <v>595.54999999999995</v>
      </c>
      <c r="L225">
        <v>-200</v>
      </c>
      <c r="M225" s="53">
        <v>103187.19</v>
      </c>
      <c r="P225">
        <v>0</v>
      </c>
      <c r="Q225" s="55">
        <v>0.86631999999999998</v>
      </c>
      <c r="R225" s="61">
        <f t="shared" si="15"/>
        <v>89393.126440799999</v>
      </c>
      <c r="S225">
        <f t="shared" si="12"/>
        <v>89393.126440799999</v>
      </c>
      <c r="T225" s="5">
        <f t="shared" si="16"/>
        <v>8.9393126440799997E-2</v>
      </c>
    </row>
    <row r="226" spans="1:20" ht="16.8">
      <c r="A226" s="80">
        <v>212</v>
      </c>
      <c r="B226" t="s">
        <v>375</v>
      </c>
      <c r="C226" s="63">
        <v>46099.656944444447</v>
      </c>
      <c r="D226" t="s">
        <v>316</v>
      </c>
      <c r="E226" t="s">
        <v>336</v>
      </c>
      <c r="F226" t="s">
        <v>376</v>
      </c>
      <c r="G226" s="67" t="s">
        <v>419</v>
      </c>
      <c r="H226" t="s">
        <v>378</v>
      </c>
      <c r="J226" t="s">
        <v>320</v>
      </c>
      <c r="K226" s="55">
        <v>878.4</v>
      </c>
      <c r="L226">
        <v>-16</v>
      </c>
      <c r="M226" s="53">
        <v>14212.54</v>
      </c>
      <c r="O226" t="s">
        <v>1006</v>
      </c>
      <c r="P226">
        <v>-1</v>
      </c>
      <c r="Q226">
        <v>1</v>
      </c>
      <c r="R226" s="61">
        <f t="shared" si="15"/>
        <v>14213.54</v>
      </c>
      <c r="S226">
        <f t="shared" si="12"/>
        <v>14213.54</v>
      </c>
      <c r="T226" s="5">
        <f t="shared" si="16"/>
        <v>1.421354E-2</v>
      </c>
    </row>
    <row r="227" spans="1:20" ht="16.8">
      <c r="A227" s="80">
        <v>213</v>
      </c>
      <c r="B227" t="s">
        <v>375</v>
      </c>
      <c r="C227" s="63">
        <v>46099.656944444447</v>
      </c>
      <c r="D227" t="s">
        <v>316</v>
      </c>
      <c r="E227" t="s">
        <v>336</v>
      </c>
      <c r="F227" t="s">
        <v>376</v>
      </c>
      <c r="G227" s="67" t="s">
        <v>423</v>
      </c>
      <c r="H227" t="s">
        <v>378</v>
      </c>
      <c r="J227" t="s">
        <v>320</v>
      </c>
      <c r="K227" s="55">
        <v>820.08</v>
      </c>
      <c r="L227">
        <v>-8</v>
      </c>
      <c r="M227" s="53">
        <v>6632.97</v>
      </c>
      <c r="O227" t="s">
        <v>1006</v>
      </c>
      <c r="P227">
        <v>-1</v>
      </c>
      <c r="Q227" s="55">
        <v>1</v>
      </c>
      <c r="R227" s="61">
        <f t="shared" si="15"/>
        <v>6633.97</v>
      </c>
      <c r="S227">
        <f t="shared" si="12"/>
        <v>6633.97</v>
      </c>
      <c r="T227" s="5">
        <f t="shared" si="16"/>
        <v>6.6339700000000003E-3</v>
      </c>
    </row>
    <row r="228" spans="1:20" ht="16.8">
      <c r="A228" s="80">
        <v>214</v>
      </c>
      <c r="B228" t="s">
        <v>375</v>
      </c>
      <c r="C228" s="63">
        <v>46099.656944444447</v>
      </c>
      <c r="D228" t="s">
        <v>316</v>
      </c>
      <c r="E228" t="s">
        <v>336</v>
      </c>
      <c r="F228" t="s">
        <v>376</v>
      </c>
      <c r="G228" s="67" t="s">
        <v>421</v>
      </c>
      <c r="H228" t="s">
        <v>378</v>
      </c>
      <c r="J228" t="s">
        <v>320</v>
      </c>
      <c r="K228" s="55">
        <v>949.64</v>
      </c>
      <c r="L228">
        <v>-18</v>
      </c>
      <c r="M228" s="53">
        <v>17225.560000000001</v>
      </c>
      <c r="O228" t="s">
        <v>1006</v>
      </c>
      <c r="P228">
        <v>-1</v>
      </c>
      <c r="Q228" s="55">
        <v>1</v>
      </c>
      <c r="R228" s="61">
        <f t="shared" si="15"/>
        <v>17226.560000000001</v>
      </c>
      <c r="S228">
        <f t="shared" si="12"/>
        <v>17226.560000000001</v>
      </c>
      <c r="T228" s="5">
        <f t="shared" si="16"/>
        <v>1.7226560000000002E-2</v>
      </c>
    </row>
    <row r="229" spans="1:20" ht="16.8">
      <c r="A229" s="80">
        <v>215</v>
      </c>
      <c r="B229" t="s">
        <v>375</v>
      </c>
      <c r="C229" s="63">
        <v>46099.656944444447</v>
      </c>
      <c r="D229" t="s">
        <v>316</v>
      </c>
      <c r="E229" t="s">
        <v>336</v>
      </c>
      <c r="F229" t="s">
        <v>376</v>
      </c>
      <c r="G229" s="67" t="s">
        <v>394</v>
      </c>
      <c r="H229" t="s">
        <v>378</v>
      </c>
      <c r="J229" t="s">
        <v>320</v>
      </c>
      <c r="K229" s="55">
        <v>657.08</v>
      </c>
      <c r="L229">
        <v>-12</v>
      </c>
      <c r="M229" s="53">
        <v>7896.88</v>
      </c>
      <c r="O229" t="s">
        <v>1006</v>
      </c>
      <c r="P229">
        <v>-1</v>
      </c>
      <c r="Q229" s="55">
        <v>1</v>
      </c>
      <c r="R229" s="61">
        <f t="shared" si="15"/>
        <v>7897.88</v>
      </c>
      <c r="S229">
        <f t="shared" si="12"/>
        <v>7897.88</v>
      </c>
      <c r="T229" s="5">
        <f t="shared" si="16"/>
        <v>7.8978799999999995E-3</v>
      </c>
    </row>
    <row r="230" spans="1:20" ht="16.8">
      <c r="A230" s="80">
        <v>216</v>
      </c>
      <c r="B230" t="s">
        <v>375</v>
      </c>
      <c r="C230" s="63">
        <v>46099.656944444447</v>
      </c>
      <c r="D230" t="s">
        <v>316</v>
      </c>
      <c r="E230" t="s">
        <v>336</v>
      </c>
      <c r="F230" t="s">
        <v>376</v>
      </c>
      <c r="G230" s="67" t="s">
        <v>425</v>
      </c>
      <c r="H230" t="s">
        <v>378</v>
      </c>
      <c r="J230" t="s">
        <v>320</v>
      </c>
      <c r="K230" s="55">
        <v>735.1</v>
      </c>
      <c r="L230">
        <v>-6</v>
      </c>
      <c r="M230" s="53">
        <v>4437.3500000000004</v>
      </c>
      <c r="O230" t="s">
        <v>1006</v>
      </c>
      <c r="P230">
        <v>-1</v>
      </c>
      <c r="Q230" s="55">
        <v>1</v>
      </c>
      <c r="R230" s="61">
        <f t="shared" si="15"/>
        <v>4438.3500000000004</v>
      </c>
      <c r="S230">
        <f t="shared" ref="S230:S242" si="17">ABS(R230)</f>
        <v>4438.3500000000004</v>
      </c>
      <c r="T230" s="5">
        <f t="shared" si="16"/>
        <v>4.4383500000000006E-3</v>
      </c>
    </row>
    <row r="231" spans="1:20" ht="16.8">
      <c r="A231" s="80">
        <v>217</v>
      </c>
      <c r="B231" t="s">
        <v>375</v>
      </c>
      <c r="C231" s="63">
        <v>46100.3</v>
      </c>
      <c r="D231" t="s">
        <v>316</v>
      </c>
      <c r="E231" t="s">
        <v>321</v>
      </c>
      <c r="F231" t="s">
        <v>317</v>
      </c>
      <c r="G231" s="126" t="s">
        <v>525</v>
      </c>
      <c r="H231" t="s">
        <v>25</v>
      </c>
      <c r="J231" t="s">
        <v>320</v>
      </c>
      <c r="K231" s="55">
        <v>159.70599999999999</v>
      </c>
      <c r="L231">
        <v>-250000</v>
      </c>
      <c r="M231" s="55">
        <v>279.97000000000003</v>
      </c>
      <c r="P231">
        <v>-1</v>
      </c>
      <c r="Q231" s="55">
        <v>5.4599999999999996E-3</v>
      </c>
      <c r="R231" s="61">
        <f t="shared" si="15"/>
        <v>2.5286362000000002</v>
      </c>
      <c r="S231">
        <f t="shared" si="17"/>
        <v>2.5286362000000002</v>
      </c>
      <c r="T231" s="5">
        <f t="shared" si="16"/>
        <v>2.5286362000000003E-6</v>
      </c>
    </row>
    <row r="232" spans="1:20" ht="16.8">
      <c r="A232" s="80">
        <v>218</v>
      </c>
      <c r="B232" t="s">
        <v>375</v>
      </c>
      <c r="C232" s="63">
        <v>46100.3</v>
      </c>
      <c r="D232" t="s">
        <v>316</v>
      </c>
      <c r="E232" t="s">
        <v>321</v>
      </c>
      <c r="F232" t="s">
        <v>317</v>
      </c>
      <c r="G232" s="126" t="s">
        <v>525</v>
      </c>
      <c r="H232" t="s">
        <v>25</v>
      </c>
      <c r="J232" t="s">
        <v>320</v>
      </c>
      <c r="K232" s="55">
        <v>159.12</v>
      </c>
      <c r="L232">
        <v>-250000</v>
      </c>
      <c r="M232">
        <v>-520.34</v>
      </c>
      <c r="P232">
        <v>-1</v>
      </c>
      <c r="Q232" s="55">
        <v>5.4599999999999996E-3</v>
      </c>
      <c r="R232" s="61">
        <f t="shared" si="15"/>
        <v>-1.8410563999999998</v>
      </c>
      <c r="S232">
        <f t="shared" si="17"/>
        <v>1.8410563999999998</v>
      </c>
      <c r="T232" s="5">
        <f t="shared" si="16"/>
        <v>1.8410563999999999E-6</v>
      </c>
    </row>
    <row r="233" spans="1:20" ht="16.8">
      <c r="A233" s="80">
        <v>219</v>
      </c>
      <c r="B233" t="s">
        <v>375</v>
      </c>
      <c r="C233" s="63">
        <v>46100.625</v>
      </c>
      <c r="D233" t="s">
        <v>316</v>
      </c>
      <c r="E233" t="s">
        <v>336</v>
      </c>
      <c r="F233" t="s">
        <v>345</v>
      </c>
      <c r="G233" s="126" t="s">
        <v>10</v>
      </c>
      <c r="H233" t="s">
        <v>347</v>
      </c>
      <c r="I233" s="80" t="s">
        <v>14</v>
      </c>
      <c r="J233" t="s">
        <v>320</v>
      </c>
      <c r="K233" s="55">
        <v>8.4600000000000009</v>
      </c>
      <c r="L233">
        <v>-4</v>
      </c>
      <c r="M233" s="53">
        <v>2954.76</v>
      </c>
      <c r="P233">
        <v>-1</v>
      </c>
      <c r="Q233" s="55">
        <v>0.87316000000000005</v>
      </c>
      <c r="R233" s="61">
        <f t="shared" si="15"/>
        <v>2580.9782416000003</v>
      </c>
      <c r="S233">
        <f t="shared" si="17"/>
        <v>2580.9782416000003</v>
      </c>
      <c r="T233" s="5">
        <f t="shared" si="16"/>
        <v>2.5809782416000003E-3</v>
      </c>
    </row>
    <row r="234" spans="1:20" ht="16.8">
      <c r="A234" s="80">
        <v>220</v>
      </c>
      <c r="B234" t="s">
        <v>375</v>
      </c>
      <c r="C234" s="63">
        <v>46100.625</v>
      </c>
      <c r="D234" t="s">
        <v>316</v>
      </c>
      <c r="E234" t="s">
        <v>336</v>
      </c>
      <c r="F234" t="s">
        <v>345</v>
      </c>
      <c r="G234" s="126" t="s">
        <v>10</v>
      </c>
      <c r="H234" t="s">
        <v>347</v>
      </c>
      <c r="I234" s="80" t="s">
        <v>14</v>
      </c>
      <c r="J234" t="s">
        <v>320</v>
      </c>
      <c r="K234" s="55">
        <v>5.68</v>
      </c>
      <c r="L234">
        <v>-4</v>
      </c>
      <c r="M234" s="53">
        <v>1983.81</v>
      </c>
      <c r="P234">
        <v>-1</v>
      </c>
      <c r="Q234" s="55">
        <v>0.87316000000000005</v>
      </c>
      <c r="R234" s="61">
        <f t="shared" si="15"/>
        <v>1733.1835396000001</v>
      </c>
      <c r="S234">
        <f t="shared" si="17"/>
        <v>1733.1835396000001</v>
      </c>
      <c r="T234" s="5">
        <f t="shared" si="16"/>
        <v>1.7331835396000002E-3</v>
      </c>
    </row>
    <row r="235" spans="1:20" ht="16.8">
      <c r="C235" s="63">
        <v>46104.208333333336</v>
      </c>
      <c r="D235" t="s">
        <v>502</v>
      </c>
      <c r="E235" t="s">
        <v>336</v>
      </c>
      <c r="F235" t="s">
        <v>13</v>
      </c>
      <c r="G235" s="126" t="s">
        <v>527</v>
      </c>
      <c r="H235" t="s">
        <v>13</v>
      </c>
      <c r="J235" t="s">
        <v>319</v>
      </c>
      <c r="K235" s="55">
        <v>0.73282000000000003</v>
      </c>
      <c r="L235">
        <v>-400</v>
      </c>
      <c r="M235">
        <v>-253.83</v>
      </c>
      <c r="P235">
        <v>0</v>
      </c>
      <c r="Q235" s="55">
        <v>0.86521000000000003</v>
      </c>
      <c r="R235" s="61">
        <f t="shared" si="15"/>
        <v>-219.61625430000001</v>
      </c>
      <c r="S235">
        <f>R235</f>
        <v>-219.61625430000001</v>
      </c>
      <c r="T235" s="5">
        <f t="shared" si="16"/>
        <v>-2.1961625430000001E-4</v>
      </c>
    </row>
    <row r="236" spans="1:20" ht="16.8">
      <c r="A236" s="80">
        <v>221</v>
      </c>
      <c r="B236" t="s">
        <v>375</v>
      </c>
      <c r="C236" s="63">
        <v>46104.665277777778</v>
      </c>
      <c r="D236" t="s">
        <v>316</v>
      </c>
      <c r="E236" t="s">
        <v>336</v>
      </c>
      <c r="F236" t="s">
        <v>520</v>
      </c>
      <c r="G236" s="126" t="s">
        <v>521</v>
      </c>
      <c r="H236" t="s">
        <v>361</v>
      </c>
      <c r="J236" t="s">
        <v>319</v>
      </c>
      <c r="K236" s="55">
        <v>89.43</v>
      </c>
      <c r="L236">
        <v>5</v>
      </c>
      <c r="M236">
        <v>0</v>
      </c>
      <c r="P236">
        <v>-1</v>
      </c>
      <c r="Q236" s="55">
        <v>0.86594000000000004</v>
      </c>
      <c r="R236" s="61">
        <f t="shared" si="15"/>
        <v>1</v>
      </c>
      <c r="S236">
        <f t="shared" si="17"/>
        <v>1</v>
      </c>
      <c r="T236" s="5">
        <f t="shared" si="16"/>
        <v>9.9999999999999995E-7</v>
      </c>
    </row>
    <row r="237" spans="1:20" ht="16.8">
      <c r="A237" s="80">
        <v>222</v>
      </c>
      <c r="B237" t="s">
        <v>375</v>
      </c>
      <c r="C237" s="63">
        <v>46104.665277777778</v>
      </c>
      <c r="D237" t="s">
        <v>316</v>
      </c>
      <c r="E237" t="s">
        <v>336</v>
      </c>
      <c r="F237" t="s">
        <v>520</v>
      </c>
      <c r="G237" s="126" t="s">
        <v>528</v>
      </c>
      <c r="H237" t="s">
        <v>361</v>
      </c>
      <c r="J237" t="s">
        <v>319</v>
      </c>
      <c r="K237" s="55">
        <v>100.18</v>
      </c>
      <c r="L237">
        <v>5</v>
      </c>
      <c r="M237">
        <v>0</v>
      </c>
      <c r="P237">
        <v>-1</v>
      </c>
      <c r="Q237" s="55">
        <v>0.86594000000000004</v>
      </c>
      <c r="R237" s="61">
        <f t="shared" si="15"/>
        <v>1</v>
      </c>
      <c r="S237">
        <f t="shared" si="17"/>
        <v>1</v>
      </c>
      <c r="T237" s="5">
        <f t="shared" si="16"/>
        <v>9.9999999999999995E-7</v>
      </c>
    </row>
    <row r="238" spans="1:20" ht="16.8">
      <c r="A238" s="80">
        <v>223</v>
      </c>
      <c r="B238" t="s">
        <v>375</v>
      </c>
      <c r="C238" s="63">
        <v>46104.665277777778</v>
      </c>
      <c r="D238" t="s">
        <v>316</v>
      </c>
      <c r="E238" t="s">
        <v>336</v>
      </c>
      <c r="F238" t="s">
        <v>376</v>
      </c>
      <c r="G238" s="67" t="s">
        <v>428</v>
      </c>
      <c r="H238" t="s">
        <v>378</v>
      </c>
      <c r="J238" t="s">
        <v>320</v>
      </c>
      <c r="K238" s="53">
        <v>1173.5</v>
      </c>
      <c r="L238">
        <v>-10</v>
      </c>
      <c r="M238" s="53">
        <v>11833.9</v>
      </c>
      <c r="P238">
        <v>-1</v>
      </c>
      <c r="Q238" s="55">
        <v>1</v>
      </c>
      <c r="R238" s="61">
        <f t="shared" si="15"/>
        <v>11834.9</v>
      </c>
      <c r="S238">
        <f t="shared" si="17"/>
        <v>11834.9</v>
      </c>
      <c r="T238" s="5">
        <f t="shared" si="16"/>
        <v>1.1834899999999999E-2</v>
      </c>
    </row>
    <row r="239" spans="1:20" ht="16.8">
      <c r="A239" s="80">
        <v>224</v>
      </c>
      <c r="B239" t="s">
        <v>375</v>
      </c>
      <c r="C239" s="63">
        <v>46107.665277777778</v>
      </c>
      <c r="D239" t="s">
        <v>316</v>
      </c>
      <c r="E239" t="s">
        <v>336</v>
      </c>
      <c r="F239" t="s">
        <v>520</v>
      </c>
      <c r="G239" s="126" t="s">
        <v>528</v>
      </c>
      <c r="H239" t="s">
        <v>361</v>
      </c>
      <c r="J239" t="s">
        <v>320</v>
      </c>
      <c r="K239" s="55">
        <v>107.22</v>
      </c>
      <c r="L239">
        <v>-5</v>
      </c>
      <c r="M239" s="53">
        <v>30455.360000000001</v>
      </c>
      <c r="P239">
        <v>-1</v>
      </c>
      <c r="Q239" s="55">
        <v>0.86521000000000003</v>
      </c>
      <c r="R239" s="61">
        <f t="shared" si="15"/>
        <v>26351.282025600001</v>
      </c>
      <c r="S239">
        <f t="shared" si="17"/>
        <v>26351.282025600001</v>
      </c>
      <c r="T239" s="5">
        <f t="shared" si="16"/>
        <v>2.6351282025600001E-2</v>
      </c>
    </row>
    <row r="240" spans="1:20" ht="16.8">
      <c r="A240" s="80">
        <v>225</v>
      </c>
      <c r="B240" t="s">
        <v>375</v>
      </c>
      <c r="C240" s="63">
        <v>46107.665277777778</v>
      </c>
      <c r="D240" t="s">
        <v>316</v>
      </c>
      <c r="E240" t="s">
        <v>336</v>
      </c>
      <c r="F240" t="s">
        <v>322</v>
      </c>
      <c r="G240" s="126" t="s">
        <v>510</v>
      </c>
      <c r="H240" t="s">
        <v>77</v>
      </c>
      <c r="J240" t="s">
        <v>320</v>
      </c>
      <c r="K240" s="55">
        <v>87.58</v>
      </c>
      <c r="L240">
        <v>1000</v>
      </c>
      <c r="M240" s="53">
        <v>1509.26</v>
      </c>
      <c r="P240">
        <v>-1</v>
      </c>
      <c r="Q240" s="55">
        <v>0.86521000000000003</v>
      </c>
      <c r="R240" s="61">
        <f t="shared" si="15"/>
        <v>1306.8268446</v>
      </c>
      <c r="S240">
        <f t="shared" si="17"/>
        <v>1306.8268446</v>
      </c>
      <c r="T240" s="5">
        <f t="shared" si="16"/>
        <v>1.3068268446E-3</v>
      </c>
    </row>
    <row r="241" spans="1:20" ht="16.8">
      <c r="A241" s="80">
        <v>226</v>
      </c>
      <c r="B241" t="s">
        <v>375</v>
      </c>
      <c r="C241" s="63">
        <v>46107.665277777778</v>
      </c>
      <c r="D241" t="s">
        <v>316</v>
      </c>
      <c r="E241" t="s">
        <v>336</v>
      </c>
      <c r="F241" t="s">
        <v>322</v>
      </c>
      <c r="G241" s="126" t="s">
        <v>510</v>
      </c>
      <c r="H241" t="s">
        <v>77</v>
      </c>
      <c r="J241" t="s">
        <v>320</v>
      </c>
      <c r="K241" s="55">
        <v>87.58</v>
      </c>
      <c r="L241">
        <v>1000</v>
      </c>
      <c r="M241" s="54">
        <v>-77284.27</v>
      </c>
      <c r="P241">
        <v>0</v>
      </c>
      <c r="Q241" s="55">
        <v>0.86521000000000003</v>
      </c>
      <c r="R241" s="61">
        <f t="shared" si="15"/>
        <v>-66867.123246700008</v>
      </c>
      <c r="S241">
        <f t="shared" si="17"/>
        <v>66867.123246700008</v>
      </c>
      <c r="T241" s="5">
        <f t="shared" si="16"/>
        <v>6.6867123246700008E-2</v>
      </c>
    </row>
    <row r="242" spans="1:20" ht="16.8">
      <c r="A242" s="80">
        <v>227</v>
      </c>
      <c r="B242" t="s">
        <v>375</v>
      </c>
      <c r="C242" s="63">
        <v>46107.666666666664</v>
      </c>
      <c r="D242" t="s">
        <v>316</v>
      </c>
      <c r="E242" t="s">
        <v>336</v>
      </c>
      <c r="F242" t="s">
        <v>520</v>
      </c>
      <c r="G242" s="126" t="s">
        <v>521</v>
      </c>
      <c r="H242" t="s">
        <v>361</v>
      </c>
      <c r="J242" t="s">
        <v>320</v>
      </c>
      <c r="K242" s="55">
        <v>94.56</v>
      </c>
      <c r="L242">
        <v>-15</v>
      </c>
      <c r="M242" s="53">
        <v>13194.44</v>
      </c>
      <c r="P242">
        <v>-1</v>
      </c>
      <c r="Q242" s="55">
        <v>0.86521000000000003</v>
      </c>
      <c r="R242" s="61">
        <f t="shared" ref="R242" si="18">M242*Q242-P242</f>
        <v>11416.961432400001</v>
      </c>
      <c r="S242">
        <f t="shared" si="17"/>
        <v>11416.961432400001</v>
      </c>
      <c r="T242" s="5">
        <f t="shared" si="16"/>
        <v>1.1416961432400001E-2</v>
      </c>
    </row>
    <row r="243" spans="1:20">
      <c r="T243" s="5">
        <f t="shared" si="16"/>
        <v>0</v>
      </c>
    </row>
    <row r="244" spans="1:20">
      <c r="T244" s="5">
        <f t="shared" si="16"/>
        <v>0</v>
      </c>
    </row>
    <row r="245" spans="1:20" s="92" customFormat="1">
      <c r="A245" s="130"/>
      <c r="C245" s="93"/>
      <c r="G245" s="92" t="s">
        <v>529</v>
      </c>
      <c r="R245" s="94"/>
      <c r="T245" s="5">
        <f t="shared" si="16"/>
        <v>0</v>
      </c>
    </row>
    <row r="246" spans="1:20" ht="16.8">
      <c r="A246" s="80">
        <v>228</v>
      </c>
      <c r="B246" t="s">
        <v>375</v>
      </c>
      <c r="C246" s="63">
        <v>46107.875</v>
      </c>
      <c r="D246" t="s">
        <v>316</v>
      </c>
      <c r="E246" t="s">
        <v>336</v>
      </c>
      <c r="F246" t="s">
        <v>322</v>
      </c>
      <c r="G246" s="2" t="s">
        <v>512</v>
      </c>
      <c r="H246" t="s">
        <v>77</v>
      </c>
      <c r="J246" t="s">
        <v>320</v>
      </c>
      <c r="K246" s="55">
        <v>0.24349999999999999</v>
      </c>
      <c r="L246">
        <v>500000</v>
      </c>
      <c r="M246" s="53">
        <v>-10000.870000000001</v>
      </c>
      <c r="P246">
        <v>-1</v>
      </c>
      <c r="Q246" s="55">
        <v>0.86521000000000003</v>
      </c>
      <c r="R246" s="61">
        <f>M246*Q246-P246</f>
        <v>-8651.8527327000011</v>
      </c>
      <c r="S246">
        <f>ABS(R246)</f>
        <v>8651.8527327000011</v>
      </c>
      <c r="T246" s="5">
        <f t="shared" si="16"/>
        <v>8.6518527327000012E-3</v>
      </c>
    </row>
    <row r="247" spans="1:20" ht="16.8">
      <c r="A247" s="80">
        <v>229</v>
      </c>
      <c r="B247" t="s">
        <v>375</v>
      </c>
      <c r="C247" s="63">
        <v>46107.875</v>
      </c>
      <c r="D247" t="s">
        <v>316</v>
      </c>
      <c r="E247" t="s">
        <v>336</v>
      </c>
      <c r="F247" t="s">
        <v>322</v>
      </c>
      <c r="G247" s="2" t="s">
        <v>512</v>
      </c>
      <c r="H247" t="s">
        <v>77</v>
      </c>
      <c r="J247" t="s">
        <v>320</v>
      </c>
      <c r="K247" s="55">
        <v>0.24349999999999999</v>
      </c>
      <c r="L247">
        <v>500000</v>
      </c>
      <c r="M247" s="54">
        <v>-95338.34</v>
      </c>
      <c r="P247">
        <v>0</v>
      </c>
      <c r="Q247" s="55">
        <v>0.86521000000000003</v>
      </c>
      <c r="R247" s="61">
        <f>M247*Q247-P247</f>
        <v>-82487.685151400001</v>
      </c>
      <c r="S247">
        <f>ABS(R247)</f>
        <v>82487.685151400001</v>
      </c>
      <c r="T247" s="5">
        <f t="shared" si="16"/>
        <v>8.2487685151399995E-2</v>
      </c>
    </row>
    <row r="248" spans="1:20" ht="16.8">
      <c r="A248" s="80">
        <v>230</v>
      </c>
      <c r="B248" t="s">
        <v>375</v>
      </c>
      <c r="C248" s="63">
        <v>46107.875</v>
      </c>
      <c r="D248" t="s">
        <v>316</v>
      </c>
      <c r="E248" t="s">
        <v>336</v>
      </c>
      <c r="F248" t="s">
        <v>376</v>
      </c>
      <c r="G248" s="95" t="s">
        <v>428</v>
      </c>
      <c r="H248" t="s">
        <v>378</v>
      </c>
      <c r="J248" t="s">
        <v>320</v>
      </c>
      <c r="K248" s="53">
        <v>1166.55</v>
      </c>
      <c r="L248">
        <v>-2</v>
      </c>
      <c r="M248" s="53">
        <v>2353.66</v>
      </c>
      <c r="P248">
        <v>-1</v>
      </c>
      <c r="Q248" s="55">
        <v>1</v>
      </c>
      <c r="R248" s="61">
        <f>M248*Q248-P248</f>
        <v>2354.66</v>
      </c>
      <c r="S248">
        <f>ABS(R248)</f>
        <v>2354.66</v>
      </c>
      <c r="T248" s="5">
        <f t="shared" si="16"/>
        <v>2.3546599999999997E-3</v>
      </c>
    </row>
    <row r="249" spans="1:20" ht="16.8">
      <c r="A249" s="80">
        <v>231</v>
      </c>
      <c r="B249" t="s">
        <v>375</v>
      </c>
      <c r="C249" s="63">
        <v>46107.875</v>
      </c>
      <c r="D249" t="s">
        <v>316</v>
      </c>
      <c r="E249" t="s">
        <v>336</v>
      </c>
      <c r="F249" t="s">
        <v>376</v>
      </c>
      <c r="G249" s="95" t="s">
        <v>394</v>
      </c>
      <c r="H249" t="s">
        <v>378</v>
      </c>
      <c r="J249" t="s">
        <v>320</v>
      </c>
      <c r="K249" s="55">
        <v>657.13</v>
      </c>
      <c r="L249">
        <v>-10</v>
      </c>
      <c r="M249" s="53">
        <v>6583.97</v>
      </c>
      <c r="P249">
        <v>-1</v>
      </c>
      <c r="Q249" s="55">
        <v>1</v>
      </c>
      <c r="R249" s="61">
        <f>M249*Q249-P249</f>
        <v>6584.97</v>
      </c>
      <c r="S249">
        <f>ABS(R249)</f>
        <v>6584.97</v>
      </c>
      <c r="T249" s="5">
        <f t="shared" si="16"/>
        <v>6.5849699999999999E-3</v>
      </c>
    </row>
    <row r="250" spans="1:20" ht="33.6">
      <c r="A250" s="80">
        <v>232</v>
      </c>
      <c r="B250" t="s">
        <v>375</v>
      </c>
      <c r="C250" s="63">
        <v>46108.604166666664</v>
      </c>
      <c r="D250" t="s">
        <v>316</v>
      </c>
      <c r="E250" t="s">
        <v>336</v>
      </c>
      <c r="F250" t="s">
        <v>69</v>
      </c>
      <c r="G250" s="127" t="s">
        <v>519</v>
      </c>
      <c r="H250" t="s">
        <v>433</v>
      </c>
      <c r="J250" t="s">
        <v>320</v>
      </c>
      <c r="K250" s="55">
        <v>64.569999999999993</v>
      </c>
      <c r="L250">
        <v>-30</v>
      </c>
      <c r="M250" s="53">
        <v>1679.09</v>
      </c>
      <c r="P250">
        <v>-1</v>
      </c>
      <c r="Q250" s="55">
        <v>0.86680999999999997</v>
      </c>
      <c r="R250" s="61">
        <f t="shared" ref="R250:R252" si="19">M250*Q250-P250</f>
        <v>1456.4520028999998</v>
      </c>
      <c r="S250">
        <f t="shared" ref="S250:S253" si="20">ABS(R250)</f>
        <v>1456.4520028999998</v>
      </c>
      <c r="T250" s="5">
        <f t="shared" si="16"/>
        <v>1.4564520028999997E-3</v>
      </c>
    </row>
    <row r="251" spans="1:20" ht="16.8">
      <c r="A251" s="80">
        <v>233</v>
      </c>
      <c r="B251" t="s">
        <v>375</v>
      </c>
      <c r="C251" s="63">
        <v>46108.604166666664</v>
      </c>
      <c r="D251" t="s">
        <v>316</v>
      </c>
      <c r="E251" t="s">
        <v>336</v>
      </c>
      <c r="F251" t="s">
        <v>69</v>
      </c>
      <c r="G251" s="2" t="s">
        <v>516</v>
      </c>
      <c r="H251" t="s">
        <v>433</v>
      </c>
      <c r="J251" t="s">
        <v>320</v>
      </c>
      <c r="K251" s="55">
        <v>192.4</v>
      </c>
      <c r="L251">
        <v>-20</v>
      </c>
      <c r="M251" s="53">
        <v>3335.47</v>
      </c>
      <c r="P251">
        <v>-1</v>
      </c>
      <c r="Q251" s="55">
        <v>0.86680999999999997</v>
      </c>
      <c r="R251" s="61">
        <f t="shared" si="19"/>
        <v>2892.2187506999999</v>
      </c>
      <c r="S251">
        <f t="shared" si="20"/>
        <v>2892.2187506999999</v>
      </c>
      <c r="T251" s="5">
        <f t="shared" si="16"/>
        <v>2.8922187506999998E-3</v>
      </c>
    </row>
    <row r="252" spans="1:20" ht="16.8">
      <c r="A252" s="80">
        <v>234</v>
      </c>
      <c r="B252" t="s">
        <v>375</v>
      </c>
      <c r="C252" s="63">
        <v>46108.604166666664</v>
      </c>
      <c r="D252" t="s">
        <v>316</v>
      </c>
      <c r="E252" t="s">
        <v>336</v>
      </c>
      <c r="F252" t="s">
        <v>69</v>
      </c>
      <c r="G252" s="2" t="s">
        <v>527</v>
      </c>
      <c r="H252" t="s">
        <v>13</v>
      </c>
      <c r="J252" t="s">
        <v>320</v>
      </c>
      <c r="K252" s="55">
        <v>569.52</v>
      </c>
      <c r="L252">
        <v>400</v>
      </c>
      <c r="M252" s="53">
        <v>9477.2199999999993</v>
      </c>
      <c r="P252">
        <v>-1</v>
      </c>
      <c r="Q252" s="55">
        <v>0.86680999999999997</v>
      </c>
      <c r="R252" s="61">
        <f t="shared" si="19"/>
        <v>8215.9490681999996</v>
      </c>
      <c r="S252">
        <f t="shared" si="20"/>
        <v>8215.9490681999996</v>
      </c>
      <c r="T252" s="5">
        <f t="shared" si="16"/>
        <v>8.2159490681999996E-3</v>
      </c>
    </row>
    <row r="253" spans="1:20" ht="16.8">
      <c r="A253" s="80">
        <v>235</v>
      </c>
      <c r="B253" t="s">
        <v>375</v>
      </c>
      <c r="C253" s="63">
        <v>46108.604166666664</v>
      </c>
      <c r="D253" t="s">
        <v>316</v>
      </c>
      <c r="E253" t="s">
        <v>336</v>
      </c>
      <c r="F253" t="s">
        <v>69</v>
      </c>
      <c r="G253" s="2" t="s">
        <v>527</v>
      </c>
      <c r="H253" t="s">
        <v>13</v>
      </c>
      <c r="J253" t="s">
        <v>320</v>
      </c>
      <c r="K253" s="55">
        <v>569.52</v>
      </c>
      <c r="L253">
        <v>400</v>
      </c>
      <c r="M253" s="53">
        <v>-206942.68</v>
      </c>
      <c r="P253">
        <v>0</v>
      </c>
      <c r="Q253" s="55">
        <v>0.86680999999999997</v>
      </c>
      <c r="R253" s="61">
        <f t="shared" ref="R253" si="21">M253*Q253-P253</f>
        <v>-179379.9844508</v>
      </c>
      <c r="S253">
        <f t="shared" si="20"/>
        <v>179379.9844508</v>
      </c>
      <c r="T253" s="5">
        <f t="shared" si="16"/>
        <v>0.1793799844508</v>
      </c>
    </row>
    <row r="258" spans="11:11" ht="16.8">
      <c r="K258" s="55"/>
    </row>
  </sheetData>
  <autoFilter ref="A1:AM258" xr:uid="{CB001E55-7D65-4411-BF75-F70B1279EF34}"/>
  <mergeCells count="3">
    <mergeCell ref="AG6:AH7"/>
    <mergeCell ref="W50:X55"/>
    <mergeCell ref="X56:X103"/>
  </mergeCells>
  <dataValidations count="7">
    <dataValidation type="list" allowBlank="1" showInputMessage="1" showErrorMessage="1" sqref="H120:H125 H1:H118 H140:H1048576" xr:uid="{B9A4A02A-437E-4F79-B047-C845B26ED09C}">
      <formula1>"Commodity,FX,Crypto,Equity,Bond,Future contracts,Call,Put,ETF,Turbo,Warrant,Certificates"</formula1>
    </dataValidation>
    <dataValidation type="list" allowBlank="1" showInputMessage="1" showErrorMessage="1" sqref="B120:B125 B1:B118 B172:B1048576" xr:uid="{ADB06BBE-F195-4235-9E0A-5CBCECA93ABA}">
      <formula1>"Yannis Khalfi,Jade Sancho,Wanchun Cui, Wang Jialei"</formula1>
    </dataValidation>
    <dataValidation type="list" allowBlank="1" showInputMessage="1" showErrorMessage="1" sqref="E120:E125 E1:E118 E145:E1048576" xr:uid="{3945AD64-A64B-484A-B8A5-828688032CC5}">
      <formula1>"London,NY,Asia"</formula1>
    </dataValidation>
    <dataValidation type="list" allowBlank="1" showInputMessage="1" showErrorMessage="1" sqref="D120:D125 D1:D118 D152:D1048576" xr:uid="{743D2560-85E7-480B-AF02-B44A4A76FDB7}">
      <formula1>"Market, Limit, CouponPayment, Dividends"</formula1>
    </dataValidation>
    <dataValidation type="list" allowBlank="1" showInputMessage="1" showErrorMessage="1" sqref="I120:I125 I1:I118 I137:I1048576" xr:uid="{4F748084-FBB6-4473-931A-6934617FF99A}">
      <formula1>"Long, Short"</formula1>
    </dataValidation>
    <dataValidation type="list" allowBlank="1" showInputMessage="1" showErrorMessage="1" sqref="J120:J125 J1:J118 J144:J1048576" xr:uid="{D392D7F0-941D-4BFD-9C41-2D4DC71896F8}">
      <formula1>"Buy, Sell"</formula1>
    </dataValidation>
    <dataValidation type="list" allowBlank="1" showInputMessage="1" showErrorMessage="1" sqref="AJ1:AJ1048576" xr:uid="{7ABE06C0-7B4C-4F02-A2D6-55F128898619}">
      <formula1>"5m,15m,30m,h1,h2,h3,h4,h8,h12,D,2D,5D,W,M"</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29DB2-9E77-4189-801C-E9C76EBEE67C}">
  <dimension ref="A1:Y149"/>
  <sheetViews>
    <sheetView tabSelected="1" zoomScale="70" zoomScaleNormal="70" workbookViewId="0">
      <pane ySplit="1" topLeftCell="A5" activePane="bottomLeft" state="frozen"/>
      <selection pane="bottomLeft" activeCell="H9" sqref="H9"/>
    </sheetView>
  </sheetViews>
  <sheetFormatPr baseColWidth="10" defaultColWidth="8.88671875" defaultRowHeight="14.4"/>
  <cols>
    <col min="1" max="1" width="14" bestFit="1" customWidth="1"/>
    <col min="2" max="2" width="15.109375" style="79" customWidth="1"/>
    <col min="3" max="3" width="40.109375" style="134" bestFit="1" customWidth="1"/>
    <col min="4" max="4" width="15.109375" customWidth="1"/>
    <col min="5" max="5" width="12.44140625" bestFit="1" customWidth="1"/>
    <col min="6" max="6" width="12.6640625" style="142" bestFit="1" customWidth="1"/>
    <col min="7" max="7" width="21" style="104" customWidth="1"/>
    <col min="8" max="8" width="22.6640625" bestFit="1" customWidth="1"/>
    <col min="9" max="9" width="11.33203125" customWidth="1"/>
    <col min="10" max="10" width="13.33203125" bestFit="1" customWidth="1"/>
    <col min="11" max="11" width="9.77734375" bestFit="1" customWidth="1"/>
  </cols>
  <sheetData>
    <row r="1" spans="1:16">
      <c r="A1" s="67" t="s">
        <v>530</v>
      </c>
      <c r="B1" s="69" t="s">
        <v>531</v>
      </c>
      <c r="C1" s="67" t="s">
        <v>284</v>
      </c>
      <c r="D1" s="67" t="s">
        <v>532</v>
      </c>
      <c r="E1" s="67" t="s">
        <v>280</v>
      </c>
      <c r="F1" s="67" t="s">
        <v>533</v>
      </c>
      <c r="G1" s="67" t="s">
        <v>534</v>
      </c>
      <c r="H1" s="67" t="s">
        <v>535</v>
      </c>
      <c r="I1" s="68" t="s">
        <v>536</v>
      </c>
      <c r="J1" s="67">
        <v>1000000</v>
      </c>
      <c r="K1" s="67">
        <v>1151240</v>
      </c>
      <c r="L1" s="67"/>
      <c r="M1" s="67"/>
      <c r="N1" s="67"/>
      <c r="O1" s="67"/>
      <c r="P1" s="67"/>
    </row>
    <row r="2" spans="1:16">
      <c r="A2" s="67">
        <v>1</v>
      </c>
      <c r="B2" s="69">
        <v>46044</v>
      </c>
      <c r="C2" s="67" t="s">
        <v>318</v>
      </c>
      <c r="D2" s="96" t="s">
        <v>25</v>
      </c>
      <c r="E2" t="s">
        <v>315</v>
      </c>
      <c r="F2" s="67">
        <v>-1</v>
      </c>
      <c r="G2" s="67">
        <v>0</v>
      </c>
      <c r="H2" s="67"/>
      <c r="I2" s="68"/>
      <c r="J2" s="67"/>
      <c r="K2" s="67"/>
      <c r="L2" s="67"/>
      <c r="M2" s="67"/>
      <c r="N2" s="67"/>
      <c r="O2" s="67"/>
      <c r="P2" s="67"/>
    </row>
    <row r="3" spans="1:16">
      <c r="A3" s="67">
        <v>2</v>
      </c>
      <c r="B3" s="69">
        <v>46056</v>
      </c>
      <c r="C3" s="67" t="s">
        <v>346</v>
      </c>
      <c r="D3" t="s">
        <v>347</v>
      </c>
      <c r="E3" s="67" t="s">
        <v>343</v>
      </c>
      <c r="F3" s="67">
        <v>-23876.22</v>
      </c>
      <c r="G3" s="67">
        <v>-23876.22</v>
      </c>
      <c r="H3" s="102">
        <f>J1+F3</f>
        <v>976123.78</v>
      </c>
      <c r="I3" s="67">
        <f>J1+G3</f>
        <v>976123.78</v>
      </c>
      <c r="J3" s="67" t="s">
        <v>537</v>
      </c>
      <c r="K3" s="67"/>
      <c r="L3" s="67"/>
      <c r="M3" s="67"/>
      <c r="N3" s="67"/>
      <c r="O3" s="67"/>
      <c r="P3" s="67"/>
    </row>
    <row r="4" spans="1:16">
      <c r="A4" s="67">
        <v>3</v>
      </c>
      <c r="B4" s="69">
        <v>46056</v>
      </c>
      <c r="C4" s="67" t="s">
        <v>346</v>
      </c>
      <c r="D4" t="s">
        <v>357</v>
      </c>
      <c r="E4" s="67" t="s">
        <v>343</v>
      </c>
      <c r="F4" s="67">
        <v>25922.51</v>
      </c>
      <c r="G4" s="67">
        <v>25922.51</v>
      </c>
      <c r="H4" s="70">
        <f t="shared" ref="H4:H35" si="0">H3+F4</f>
        <v>1002046.29</v>
      </c>
      <c r="I4" s="67">
        <f t="shared" ref="I4:I35" si="1">I3+G4</f>
        <v>1002046.29</v>
      </c>
      <c r="J4" s="67" t="s">
        <v>538</v>
      </c>
      <c r="K4" s="67"/>
      <c r="L4" s="67"/>
      <c r="M4" s="67"/>
      <c r="N4" s="67"/>
      <c r="O4" s="67"/>
      <c r="P4" s="67"/>
    </row>
    <row r="5" spans="1:16">
      <c r="A5" s="67">
        <v>4</v>
      </c>
      <c r="B5" s="69">
        <v>46058</v>
      </c>
      <c r="C5" s="67" t="s">
        <v>323</v>
      </c>
      <c r="D5" s="67" t="s">
        <v>77</v>
      </c>
      <c r="E5" t="s">
        <v>315</v>
      </c>
      <c r="F5" s="102">
        <v>-3027.66</v>
      </c>
      <c r="G5" s="102">
        <v>-3027.66</v>
      </c>
      <c r="H5" s="70">
        <f t="shared" si="0"/>
        <v>999018.63</v>
      </c>
      <c r="I5" s="67">
        <f t="shared" si="1"/>
        <v>999018.63</v>
      </c>
      <c r="J5" s="67" t="s">
        <v>539</v>
      </c>
      <c r="K5" s="81"/>
      <c r="L5" s="68"/>
      <c r="M5" s="68"/>
      <c r="N5" s="68"/>
      <c r="O5" s="68"/>
      <c r="P5" s="68"/>
    </row>
    <row r="6" spans="1:16">
      <c r="A6" s="67">
        <v>5</v>
      </c>
      <c r="B6" s="69">
        <v>46062</v>
      </c>
      <c r="C6" s="67" t="s">
        <v>387</v>
      </c>
      <c r="D6" s="67" t="s">
        <v>347</v>
      </c>
      <c r="E6" s="67" t="s">
        <v>343</v>
      </c>
      <c r="F6" s="102">
        <v>46895.85</v>
      </c>
      <c r="G6" s="102">
        <v>46895.85</v>
      </c>
      <c r="H6" s="70">
        <f t="shared" si="0"/>
        <v>1045914.48</v>
      </c>
      <c r="I6" s="67">
        <f t="shared" si="1"/>
        <v>1045914.48</v>
      </c>
      <c r="J6" s="82" t="s">
        <v>540</v>
      </c>
      <c r="K6" s="67"/>
      <c r="L6" s="67"/>
      <c r="M6" s="67"/>
      <c r="N6" s="67"/>
      <c r="O6" s="67"/>
      <c r="P6" s="67"/>
    </row>
    <row r="7" spans="1:16">
      <c r="A7" s="67">
        <v>8</v>
      </c>
      <c r="B7" s="69">
        <f>Trading_Journal!C43</f>
        <v>46072.010416666664</v>
      </c>
      <c r="C7" s="67" t="s">
        <v>387</v>
      </c>
      <c r="D7" s="67" t="s">
        <v>347</v>
      </c>
      <c r="E7" s="67" t="s">
        <v>343</v>
      </c>
      <c r="F7" s="102">
        <v>-25396.9</v>
      </c>
      <c r="G7" s="102">
        <v>-25396.9</v>
      </c>
      <c r="H7" s="70">
        <f t="shared" si="0"/>
        <v>1020517.58</v>
      </c>
      <c r="I7" s="67">
        <f t="shared" si="1"/>
        <v>1020517.58</v>
      </c>
      <c r="J7" s="67"/>
      <c r="K7" s="67"/>
      <c r="L7" s="67"/>
      <c r="M7" s="67"/>
      <c r="N7" s="67"/>
      <c r="O7" s="67"/>
      <c r="P7" s="67"/>
    </row>
    <row r="8" spans="1:16">
      <c r="A8" s="67">
        <v>9</v>
      </c>
      <c r="B8" s="79">
        <f>Trading_Journal!C44</f>
        <v>46072.010416666664</v>
      </c>
      <c r="C8" s="134" t="s">
        <v>541</v>
      </c>
      <c r="D8" s="67" t="s">
        <v>347</v>
      </c>
      <c r="E8" s="67" t="s">
        <v>343</v>
      </c>
      <c r="F8" s="103">
        <v>-52892.72</v>
      </c>
      <c r="G8" s="103">
        <v>-52892.72</v>
      </c>
      <c r="H8" s="70">
        <f t="shared" si="0"/>
        <v>967624.86</v>
      </c>
      <c r="I8" s="67">
        <f t="shared" si="1"/>
        <v>967624.86</v>
      </c>
      <c r="J8" s="86"/>
    </row>
    <row r="9" spans="1:16">
      <c r="A9" s="67">
        <v>10</v>
      </c>
      <c r="B9" s="79">
        <f>Trading_Journal!C45</f>
        <v>46073.805555555555</v>
      </c>
      <c r="C9" s="134" t="s">
        <v>387</v>
      </c>
      <c r="D9" s="67" t="s">
        <v>357</v>
      </c>
      <c r="E9" s="67" t="s">
        <v>343</v>
      </c>
      <c r="F9" s="103">
        <v>-12949.48</v>
      </c>
      <c r="G9" s="103">
        <v>-12949.48</v>
      </c>
      <c r="H9" s="70">
        <f t="shared" si="0"/>
        <v>954675.38</v>
      </c>
      <c r="I9" s="67">
        <f t="shared" si="1"/>
        <v>954675.38</v>
      </c>
    </row>
    <row r="10" spans="1:16">
      <c r="A10" s="67">
        <v>11</v>
      </c>
      <c r="B10" s="79">
        <f>Trading_Journal!C46</f>
        <v>46073.806250000001</v>
      </c>
      <c r="C10" s="134" t="s">
        <v>541</v>
      </c>
      <c r="D10" s="67" t="s">
        <v>357</v>
      </c>
      <c r="E10" s="67" t="s">
        <v>343</v>
      </c>
      <c r="F10" s="103">
        <v>-36328.339999999997</v>
      </c>
      <c r="G10" s="103">
        <v>-36328.339999999997</v>
      </c>
      <c r="H10" s="70">
        <f t="shared" si="0"/>
        <v>918347.04</v>
      </c>
      <c r="I10" s="67">
        <f t="shared" si="1"/>
        <v>918347.04</v>
      </c>
    </row>
    <row r="11" spans="1:16">
      <c r="A11" s="67">
        <v>12</v>
      </c>
      <c r="B11" s="79">
        <v>46080</v>
      </c>
      <c r="C11" s="134" t="s">
        <v>542</v>
      </c>
      <c r="D11" s="67" t="s">
        <v>433</v>
      </c>
      <c r="E11" t="s">
        <v>359</v>
      </c>
      <c r="F11" s="103">
        <v>3630.02</v>
      </c>
      <c r="G11" s="103">
        <v>3630.02</v>
      </c>
      <c r="H11" s="70">
        <f t="shared" si="0"/>
        <v>921977.06</v>
      </c>
      <c r="I11" s="67">
        <f t="shared" si="1"/>
        <v>921977.06</v>
      </c>
    </row>
    <row r="12" spans="1:16">
      <c r="A12" s="67">
        <v>19</v>
      </c>
      <c r="B12" s="79">
        <v>46086</v>
      </c>
      <c r="C12" s="67" t="s">
        <v>443</v>
      </c>
      <c r="D12" t="s">
        <v>347</v>
      </c>
      <c r="E12" t="s">
        <v>315</v>
      </c>
      <c r="F12" s="104">
        <f>3429.13+7537.53</f>
        <v>10966.66</v>
      </c>
      <c r="G12" s="104">
        <f>3429.13+7537.53</f>
        <v>10966.66</v>
      </c>
      <c r="H12" s="70">
        <f t="shared" si="0"/>
        <v>932943.72000000009</v>
      </c>
      <c r="I12" s="67">
        <f t="shared" si="1"/>
        <v>932943.72000000009</v>
      </c>
    </row>
    <row r="13" spans="1:16">
      <c r="A13" s="67">
        <v>20</v>
      </c>
      <c r="B13" s="79">
        <v>46087</v>
      </c>
      <c r="C13" s="135" t="s">
        <v>493</v>
      </c>
      <c r="D13" t="s">
        <v>433</v>
      </c>
      <c r="E13" t="s">
        <v>315</v>
      </c>
      <c r="F13" s="104">
        <v>360.38</v>
      </c>
      <c r="G13" s="104">
        <v>360.38</v>
      </c>
      <c r="H13" s="70">
        <f t="shared" si="0"/>
        <v>933304.10000000009</v>
      </c>
      <c r="I13" s="67">
        <f t="shared" si="1"/>
        <v>933304.10000000009</v>
      </c>
    </row>
    <row r="14" spans="1:16" ht="16.8">
      <c r="A14" s="67">
        <v>21</v>
      </c>
      <c r="B14" s="79">
        <v>46087</v>
      </c>
      <c r="C14" s="125" t="s">
        <v>468</v>
      </c>
      <c r="D14" t="s">
        <v>433</v>
      </c>
      <c r="E14" t="s">
        <v>315</v>
      </c>
      <c r="F14" s="104">
        <v>495.54</v>
      </c>
      <c r="G14" s="104">
        <v>495.54</v>
      </c>
      <c r="H14" s="70">
        <f t="shared" si="0"/>
        <v>933799.64000000013</v>
      </c>
      <c r="I14" s="67">
        <f t="shared" si="1"/>
        <v>933799.64000000013</v>
      </c>
    </row>
    <row r="15" spans="1:16">
      <c r="A15" s="67">
        <v>22</v>
      </c>
      <c r="B15" s="79">
        <v>46088.011111111111</v>
      </c>
      <c r="C15" s="131" t="s">
        <v>443</v>
      </c>
      <c r="D15" t="s">
        <v>347</v>
      </c>
      <c r="E15" t="s">
        <v>315</v>
      </c>
      <c r="F15" s="104">
        <f>-9467.21 - 20547.66</f>
        <v>-30014.87</v>
      </c>
      <c r="G15" s="104">
        <f>-9467.21 - 20547.66</f>
        <v>-30014.87</v>
      </c>
      <c r="H15" s="70">
        <f t="shared" si="0"/>
        <v>903784.77000000014</v>
      </c>
      <c r="I15" s="67">
        <f t="shared" si="1"/>
        <v>903784.77000000014</v>
      </c>
    </row>
    <row r="16" spans="1:16">
      <c r="A16" s="67">
        <v>23</v>
      </c>
      <c r="B16" s="79">
        <v>46092.74722222222</v>
      </c>
      <c r="C16" s="131" t="s">
        <v>443</v>
      </c>
      <c r="D16" t="s">
        <v>347</v>
      </c>
      <c r="E16" t="s">
        <v>315</v>
      </c>
      <c r="F16" s="106">
        <v>16127.88</v>
      </c>
      <c r="G16" s="106">
        <v>16127.88</v>
      </c>
      <c r="H16" s="70">
        <f t="shared" si="0"/>
        <v>919912.65000000014</v>
      </c>
      <c r="I16" s="67">
        <f t="shared" si="1"/>
        <v>919912.65000000014</v>
      </c>
    </row>
    <row r="17" spans="1:10" ht="33.6">
      <c r="A17" s="67">
        <v>24</v>
      </c>
      <c r="B17" s="79">
        <v>46094.768750000003</v>
      </c>
      <c r="C17" s="136" t="s">
        <v>456</v>
      </c>
      <c r="D17" t="s">
        <v>433</v>
      </c>
      <c r="E17" t="s">
        <v>315</v>
      </c>
      <c r="F17" s="138">
        <v>957.18</v>
      </c>
      <c r="G17" s="138">
        <v>957.18</v>
      </c>
      <c r="H17" s="70">
        <f t="shared" si="0"/>
        <v>920869.83000000019</v>
      </c>
      <c r="I17" s="67">
        <f t="shared" si="1"/>
        <v>920869.83000000019</v>
      </c>
      <c r="J17" s="54"/>
    </row>
    <row r="18" spans="1:10" ht="16.8">
      <c r="A18" s="67">
        <v>25</v>
      </c>
      <c r="B18" s="79">
        <v>46094.768750000003</v>
      </c>
      <c r="C18" s="125" t="s">
        <v>477</v>
      </c>
      <c r="D18" t="s">
        <v>433</v>
      </c>
      <c r="E18" t="s">
        <v>315</v>
      </c>
      <c r="F18" s="138">
        <v>199.18</v>
      </c>
      <c r="G18" s="138">
        <v>199.18</v>
      </c>
      <c r="H18" s="70">
        <f t="shared" si="0"/>
        <v>921069.01000000024</v>
      </c>
      <c r="I18" s="67">
        <f t="shared" si="1"/>
        <v>921069.01000000024</v>
      </c>
    </row>
    <row r="19" spans="1:10">
      <c r="A19" s="67">
        <v>26</v>
      </c>
      <c r="B19" s="79">
        <v>46094.969444444447</v>
      </c>
      <c r="C19" s="131" t="s">
        <v>443</v>
      </c>
      <c r="D19" t="s">
        <v>347</v>
      </c>
      <c r="E19" t="s">
        <v>315</v>
      </c>
      <c r="F19" s="103">
        <v>-32158.79</v>
      </c>
      <c r="G19" s="103">
        <v>-32158.79</v>
      </c>
      <c r="H19" s="70">
        <f t="shared" si="0"/>
        <v>888910.2200000002</v>
      </c>
      <c r="I19" s="67">
        <f t="shared" si="1"/>
        <v>888910.2200000002</v>
      </c>
    </row>
    <row r="20" spans="1:10" ht="16.8">
      <c r="A20" s="67">
        <v>27</v>
      </c>
      <c r="B20" s="79">
        <v>46097.685416666667</v>
      </c>
      <c r="C20" s="125" t="s">
        <v>470</v>
      </c>
      <c r="D20" t="s">
        <v>433</v>
      </c>
      <c r="E20" t="s">
        <v>315</v>
      </c>
      <c r="F20" s="104">
        <v>524.30999999999995</v>
      </c>
      <c r="G20" s="104">
        <v>524.30999999999995</v>
      </c>
      <c r="H20" s="70">
        <f t="shared" si="0"/>
        <v>889434.53000000026</v>
      </c>
      <c r="I20" s="67">
        <f t="shared" si="1"/>
        <v>889434.53000000026</v>
      </c>
    </row>
    <row r="21" spans="1:10" ht="16.8">
      <c r="A21" s="67">
        <v>28</v>
      </c>
      <c r="B21" s="79">
        <v>46098.724305555559</v>
      </c>
      <c r="C21" s="134" t="s">
        <v>512</v>
      </c>
      <c r="D21" t="s">
        <v>77</v>
      </c>
      <c r="E21" t="s">
        <v>375</v>
      </c>
      <c r="F21" s="139">
        <v>2922.27</v>
      </c>
      <c r="G21" s="139">
        <v>2922.27</v>
      </c>
      <c r="H21" s="70">
        <f t="shared" si="0"/>
        <v>892356.80000000028</v>
      </c>
      <c r="I21" s="67">
        <f t="shared" si="1"/>
        <v>892356.80000000028</v>
      </c>
    </row>
    <row r="22" spans="1:10">
      <c r="A22" s="67">
        <v>29</v>
      </c>
      <c r="B22" s="79">
        <v>46099.001388888886</v>
      </c>
      <c r="C22" s="134" t="s">
        <v>511</v>
      </c>
      <c r="D22" t="s">
        <v>77</v>
      </c>
      <c r="E22" t="s">
        <v>375</v>
      </c>
      <c r="F22" s="103">
        <f>1370.82 - 32.57</f>
        <v>1338.25</v>
      </c>
      <c r="G22" s="103">
        <f>1370.82 - 32.57</f>
        <v>1338.25</v>
      </c>
      <c r="H22" s="70">
        <f t="shared" si="0"/>
        <v>893695.05000000028</v>
      </c>
      <c r="I22" s="67">
        <f t="shared" si="1"/>
        <v>893695.05000000028</v>
      </c>
    </row>
    <row r="23" spans="1:10">
      <c r="A23" s="67">
        <v>30</v>
      </c>
      <c r="B23" s="79">
        <v>46099.001388888886</v>
      </c>
      <c r="C23" s="134" t="s">
        <v>360</v>
      </c>
      <c r="D23" t="s">
        <v>25</v>
      </c>
      <c r="E23" t="s">
        <v>359</v>
      </c>
      <c r="F23" s="105">
        <f>-260.17</f>
        <v>-260.17</v>
      </c>
      <c r="G23" s="105">
        <f>-260.17</f>
        <v>-260.17</v>
      </c>
      <c r="H23" s="70">
        <f t="shared" si="0"/>
        <v>893434.88000000024</v>
      </c>
      <c r="I23" s="67">
        <f t="shared" si="1"/>
        <v>893434.88000000024</v>
      </c>
    </row>
    <row r="24" spans="1:10">
      <c r="A24" s="67">
        <v>31</v>
      </c>
      <c r="B24" s="79">
        <v>46099.001388888886</v>
      </c>
      <c r="C24" s="134" t="s">
        <v>318</v>
      </c>
      <c r="D24" t="s">
        <v>25</v>
      </c>
      <c r="E24" t="s">
        <v>359</v>
      </c>
      <c r="F24" s="105">
        <v>-564.91</v>
      </c>
      <c r="G24" s="105">
        <v>-564.91</v>
      </c>
      <c r="H24" s="70">
        <f t="shared" si="0"/>
        <v>892869.9700000002</v>
      </c>
      <c r="I24" s="67">
        <f t="shared" si="1"/>
        <v>892869.9700000002</v>
      </c>
    </row>
    <row r="25" spans="1:10">
      <c r="A25" s="67">
        <v>32</v>
      </c>
      <c r="B25" s="79">
        <v>46099.604166666664</v>
      </c>
      <c r="C25" s="134" t="s">
        <v>38</v>
      </c>
      <c r="D25" t="s">
        <v>361</v>
      </c>
      <c r="E25" t="s">
        <v>315</v>
      </c>
      <c r="F25" s="2">
        <v>-3029.63</v>
      </c>
      <c r="G25" s="2">
        <v>-3029.63</v>
      </c>
      <c r="H25" s="70">
        <f t="shared" si="0"/>
        <v>889840.3400000002</v>
      </c>
      <c r="I25" s="67">
        <f t="shared" si="1"/>
        <v>889840.3400000002</v>
      </c>
    </row>
    <row r="26" spans="1:10" ht="16.8">
      <c r="A26" s="67">
        <v>33</v>
      </c>
      <c r="B26" s="79">
        <v>46099.604166666664</v>
      </c>
      <c r="C26" s="134" t="s">
        <v>523</v>
      </c>
      <c r="D26" t="s">
        <v>361</v>
      </c>
      <c r="E26" t="s">
        <v>315</v>
      </c>
      <c r="F26" s="139">
        <v>-10538.04</v>
      </c>
      <c r="G26" s="139">
        <v>-10538.04</v>
      </c>
      <c r="H26" s="70">
        <f t="shared" si="0"/>
        <v>879302.30000000016</v>
      </c>
      <c r="I26" s="67">
        <f t="shared" si="1"/>
        <v>879302.30000000016</v>
      </c>
    </row>
    <row r="27" spans="1:10">
      <c r="A27" s="67">
        <v>34</v>
      </c>
      <c r="B27" s="79">
        <v>46099.656944444447</v>
      </c>
      <c r="C27" s="134" t="s">
        <v>323</v>
      </c>
      <c r="D27" t="s">
        <v>77</v>
      </c>
      <c r="E27" t="s">
        <v>375</v>
      </c>
      <c r="F27" s="104">
        <v>-323.25</v>
      </c>
      <c r="G27" s="104">
        <v>-323.25</v>
      </c>
      <c r="H27" s="70">
        <f t="shared" si="0"/>
        <v>878979.05000000016</v>
      </c>
      <c r="I27" s="67">
        <f t="shared" si="1"/>
        <v>878979.05000000016</v>
      </c>
    </row>
    <row r="28" spans="1:10">
      <c r="A28" s="67">
        <v>35</v>
      </c>
      <c r="B28" s="79">
        <v>46099.656944444447</v>
      </c>
      <c r="C28" s="134" t="s">
        <v>514</v>
      </c>
      <c r="D28" t="s">
        <v>77</v>
      </c>
      <c r="E28" t="s">
        <v>375</v>
      </c>
      <c r="F28" s="104">
        <f>67.57 - 575.61</f>
        <v>-508.04</v>
      </c>
      <c r="G28" s="104">
        <f>67.57 - 575.61</f>
        <v>-508.04</v>
      </c>
      <c r="H28" s="70">
        <f t="shared" si="0"/>
        <v>878471.01000000013</v>
      </c>
      <c r="I28" s="67">
        <f t="shared" si="1"/>
        <v>878471.01000000013</v>
      </c>
    </row>
    <row r="29" spans="1:10">
      <c r="A29" s="67">
        <v>36</v>
      </c>
      <c r="B29" s="79">
        <v>46099.656944444447</v>
      </c>
      <c r="C29" s="134" t="s">
        <v>513</v>
      </c>
      <c r="D29" t="s">
        <v>77</v>
      </c>
      <c r="E29" t="s">
        <v>375</v>
      </c>
      <c r="F29" s="104">
        <f>-211.25-640.52</f>
        <v>-851.77</v>
      </c>
      <c r="G29" s="104">
        <f>-211.25-640.52</f>
        <v>-851.77</v>
      </c>
      <c r="H29" s="70">
        <f t="shared" si="0"/>
        <v>877619.24000000011</v>
      </c>
      <c r="I29" s="67">
        <f t="shared" si="1"/>
        <v>877619.24000000011</v>
      </c>
    </row>
    <row r="30" spans="1:10">
      <c r="A30" s="67">
        <v>37</v>
      </c>
      <c r="B30" s="79">
        <v>46099.656944444447</v>
      </c>
      <c r="C30" s="134" t="s">
        <v>510</v>
      </c>
      <c r="D30" t="s">
        <v>77</v>
      </c>
      <c r="E30" t="s">
        <v>375</v>
      </c>
      <c r="F30" s="104">
        <f>179.69 - 589.15+1508.22</f>
        <v>1098.76</v>
      </c>
      <c r="G30" s="104">
        <f>179.69 - 589.15+1508.22</f>
        <v>1098.76</v>
      </c>
      <c r="H30" s="70">
        <f t="shared" si="0"/>
        <v>878718.00000000012</v>
      </c>
      <c r="I30" s="67">
        <f t="shared" si="1"/>
        <v>878718.00000000012</v>
      </c>
    </row>
    <row r="31" spans="1:10">
      <c r="A31" s="67">
        <v>38</v>
      </c>
      <c r="B31" s="79">
        <v>46099.656944444447</v>
      </c>
      <c r="C31" s="134" t="s">
        <v>515</v>
      </c>
      <c r="D31" t="s">
        <v>77</v>
      </c>
      <c r="E31" t="s">
        <v>375</v>
      </c>
      <c r="F31" s="103">
        <f>-373.3</f>
        <v>-373.3</v>
      </c>
      <c r="G31" s="104">
        <v>0</v>
      </c>
      <c r="H31" s="70">
        <f t="shared" si="0"/>
        <v>878344.70000000007</v>
      </c>
      <c r="I31" s="67">
        <f t="shared" si="1"/>
        <v>878718.00000000012</v>
      </c>
    </row>
    <row r="32" spans="1:10">
      <c r="A32" s="67">
        <v>39</v>
      </c>
      <c r="B32" s="79">
        <v>46099.656944444447</v>
      </c>
      <c r="C32" s="131" t="s">
        <v>396</v>
      </c>
      <c r="D32" t="s">
        <v>378</v>
      </c>
      <c r="E32" t="s">
        <v>375</v>
      </c>
      <c r="F32" s="104">
        <v>-309.85000000000002</v>
      </c>
      <c r="G32" s="104">
        <v>-309.85000000000002</v>
      </c>
      <c r="H32" s="70">
        <f t="shared" si="0"/>
        <v>878034.85000000009</v>
      </c>
      <c r="I32" s="67">
        <f t="shared" si="1"/>
        <v>878408.15000000014</v>
      </c>
    </row>
    <row r="33" spans="1:9">
      <c r="A33" s="67">
        <v>40</v>
      </c>
      <c r="B33" s="79">
        <v>46099.656944444447</v>
      </c>
      <c r="C33" s="131" t="s">
        <v>416</v>
      </c>
      <c r="D33" t="s">
        <v>378</v>
      </c>
      <c r="E33" t="s">
        <v>375</v>
      </c>
      <c r="F33" s="104">
        <v>56.55</v>
      </c>
      <c r="G33" s="104">
        <v>56.55</v>
      </c>
      <c r="H33" s="70">
        <f t="shared" si="0"/>
        <v>878091.40000000014</v>
      </c>
      <c r="I33" s="67">
        <f t="shared" si="1"/>
        <v>878464.70000000019</v>
      </c>
    </row>
    <row r="34" spans="1:9">
      <c r="A34" s="67">
        <v>41</v>
      </c>
      <c r="B34" s="79">
        <v>46099.656944444447</v>
      </c>
      <c r="C34" s="131" t="s">
        <v>414</v>
      </c>
      <c r="D34" t="s">
        <v>378</v>
      </c>
      <c r="E34" t="s">
        <v>375</v>
      </c>
      <c r="F34" s="104">
        <v>19.739999999999998</v>
      </c>
      <c r="G34" s="104">
        <v>19.739999999999998</v>
      </c>
      <c r="H34" s="70">
        <f t="shared" si="0"/>
        <v>878111.14000000013</v>
      </c>
      <c r="I34" s="67">
        <f t="shared" si="1"/>
        <v>878484.44000000018</v>
      </c>
    </row>
    <row r="35" spans="1:9">
      <c r="A35" s="67">
        <v>42</v>
      </c>
      <c r="B35" s="79">
        <v>46099.656944444447</v>
      </c>
      <c r="C35" s="131" t="s">
        <v>408</v>
      </c>
      <c r="D35" t="s">
        <v>378</v>
      </c>
      <c r="E35" t="s">
        <v>375</v>
      </c>
      <c r="F35" s="104">
        <v>121.46</v>
      </c>
      <c r="G35" s="104">
        <v>121.46</v>
      </c>
      <c r="H35" s="70">
        <f t="shared" si="0"/>
        <v>878232.60000000009</v>
      </c>
      <c r="I35" s="67">
        <f t="shared" si="1"/>
        <v>878605.90000000014</v>
      </c>
    </row>
    <row r="36" spans="1:9">
      <c r="A36" s="67">
        <v>43</v>
      </c>
      <c r="B36" s="79">
        <v>46099.656944444447</v>
      </c>
      <c r="C36" s="131" t="s">
        <v>410</v>
      </c>
      <c r="D36" t="s">
        <v>378</v>
      </c>
      <c r="E36" t="s">
        <v>375</v>
      </c>
      <c r="F36" s="104">
        <v>590.30999999999995</v>
      </c>
      <c r="G36" s="104">
        <v>590.30999999999995</v>
      </c>
      <c r="H36" s="70">
        <f t="shared" ref="H36:H67" si="2">H35+F36</f>
        <v>878822.91000000015</v>
      </c>
      <c r="I36" s="67">
        <f t="shared" ref="I36:I67" si="3">I35+G36</f>
        <v>879196.2100000002</v>
      </c>
    </row>
    <row r="37" spans="1:9">
      <c r="A37" s="67">
        <v>44</v>
      </c>
      <c r="B37" s="79">
        <v>46099.656944444447</v>
      </c>
      <c r="C37" s="131" t="s">
        <v>402</v>
      </c>
      <c r="D37" t="s">
        <v>378</v>
      </c>
      <c r="E37" t="s">
        <v>375</v>
      </c>
      <c r="F37" s="104">
        <v>313</v>
      </c>
      <c r="G37" s="104">
        <v>313</v>
      </c>
      <c r="H37" s="70">
        <f t="shared" si="2"/>
        <v>879135.91000000015</v>
      </c>
      <c r="I37" s="67">
        <f t="shared" si="3"/>
        <v>879509.2100000002</v>
      </c>
    </row>
    <row r="38" spans="1:9">
      <c r="A38" s="67">
        <v>45</v>
      </c>
      <c r="B38" s="79">
        <v>46099.656944444447</v>
      </c>
      <c r="C38" s="131" t="s">
        <v>400</v>
      </c>
      <c r="D38" t="s">
        <v>378</v>
      </c>
      <c r="E38" t="s">
        <v>375</v>
      </c>
      <c r="F38" s="104">
        <v>270.69</v>
      </c>
      <c r="G38" s="104">
        <v>270.69</v>
      </c>
      <c r="H38" s="70">
        <f t="shared" si="2"/>
        <v>879406.60000000009</v>
      </c>
      <c r="I38" s="67">
        <f t="shared" si="3"/>
        <v>879779.90000000014</v>
      </c>
    </row>
    <row r="39" spans="1:9">
      <c r="A39" s="67">
        <v>46</v>
      </c>
      <c r="B39" s="79">
        <v>46099.656944444447</v>
      </c>
      <c r="C39" s="132" t="s">
        <v>412</v>
      </c>
      <c r="D39" t="s">
        <v>378</v>
      </c>
      <c r="E39" t="s">
        <v>375</v>
      </c>
      <c r="F39" s="104">
        <v>162.71</v>
      </c>
      <c r="G39" s="104">
        <v>162.71</v>
      </c>
      <c r="H39" s="70">
        <f t="shared" si="2"/>
        <v>879569.31</v>
      </c>
      <c r="I39" s="67">
        <f t="shared" si="3"/>
        <v>879942.6100000001</v>
      </c>
    </row>
    <row r="40" spans="1:9">
      <c r="A40" s="67">
        <v>47</v>
      </c>
      <c r="B40" s="79">
        <v>46099.656944444447</v>
      </c>
      <c r="C40" s="131" t="s">
        <v>404</v>
      </c>
      <c r="D40" t="s">
        <v>378</v>
      </c>
      <c r="E40" t="s">
        <v>375</v>
      </c>
      <c r="F40" s="104">
        <v>225.91</v>
      </c>
      <c r="G40" s="104">
        <v>225.91</v>
      </c>
      <c r="H40" s="70">
        <f t="shared" si="2"/>
        <v>879795.22000000009</v>
      </c>
      <c r="I40" s="67">
        <f t="shared" si="3"/>
        <v>880168.52000000014</v>
      </c>
    </row>
    <row r="41" spans="1:9">
      <c r="A41" s="67">
        <v>48</v>
      </c>
      <c r="B41" s="79">
        <v>46099.656944444447</v>
      </c>
      <c r="C41" s="131" t="s">
        <v>398</v>
      </c>
      <c r="D41" t="s">
        <v>378</v>
      </c>
      <c r="E41" t="s">
        <v>375</v>
      </c>
      <c r="F41" s="104">
        <v>492.78</v>
      </c>
      <c r="G41" s="104">
        <v>492.78</v>
      </c>
      <c r="H41" s="70">
        <f t="shared" si="2"/>
        <v>880288.00000000012</v>
      </c>
      <c r="I41" s="67">
        <f t="shared" si="3"/>
        <v>880661.30000000016</v>
      </c>
    </row>
    <row r="42" spans="1:9">
      <c r="A42" s="67">
        <v>49</v>
      </c>
      <c r="B42" s="79">
        <v>46099.656944444447</v>
      </c>
      <c r="C42" s="131" t="s">
        <v>406</v>
      </c>
      <c r="D42" t="s">
        <v>378</v>
      </c>
      <c r="E42" t="s">
        <v>375</v>
      </c>
      <c r="F42" s="104">
        <v>456.38</v>
      </c>
      <c r="G42" s="104">
        <v>456.38</v>
      </c>
      <c r="H42" s="70">
        <f t="shared" si="2"/>
        <v>880744.38000000012</v>
      </c>
      <c r="I42" s="67">
        <f t="shared" si="3"/>
        <v>881117.68000000017</v>
      </c>
    </row>
    <row r="43" spans="1:9">
      <c r="A43" s="67">
        <v>50</v>
      </c>
      <c r="B43" s="79">
        <v>46099.656944444447</v>
      </c>
      <c r="C43" s="133" t="s">
        <v>377</v>
      </c>
      <c r="D43" t="s">
        <v>378</v>
      </c>
      <c r="E43" t="s">
        <v>375</v>
      </c>
      <c r="F43" s="104">
        <f>15.47 + 696.17</f>
        <v>711.64</v>
      </c>
      <c r="G43" s="104">
        <f>15.47 + 696.17</f>
        <v>711.64</v>
      </c>
      <c r="H43" s="70">
        <f t="shared" si="2"/>
        <v>881456.02000000014</v>
      </c>
      <c r="I43" s="67">
        <f t="shared" si="3"/>
        <v>881829.32000000018</v>
      </c>
    </row>
    <row r="44" spans="1:9">
      <c r="A44" s="67">
        <v>51</v>
      </c>
      <c r="B44" s="79">
        <v>46099.656944444447</v>
      </c>
      <c r="C44" s="134" t="s">
        <v>510</v>
      </c>
      <c r="D44" t="s">
        <v>77</v>
      </c>
      <c r="E44" t="s">
        <v>375</v>
      </c>
      <c r="F44" s="104">
        <f>-1</f>
        <v>-1</v>
      </c>
      <c r="G44" s="104">
        <v>0</v>
      </c>
      <c r="H44" s="70">
        <f t="shared" si="2"/>
        <v>881455.02000000014</v>
      </c>
      <c r="I44" s="67">
        <f t="shared" si="3"/>
        <v>881829.32000000018</v>
      </c>
    </row>
    <row r="45" spans="1:9" ht="16.8">
      <c r="A45" s="67">
        <v>52</v>
      </c>
      <c r="B45" s="79">
        <v>46099.656944444447</v>
      </c>
      <c r="C45" s="125" t="s">
        <v>501</v>
      </c>
      <c r="D45" t="s">
        <v>433</v>
      </c>
      <c r="E45" t="s">
        <v>315</v>
      </c>
      <c r="F45" s="104">
        <v>-864.04</v>
      </c>
      <c r="G45" s="104">
        <v>-864.04</v>
      </c>
      <c r="H45" s="70">
        <f t="shared" si="2"/>
        <v>880590.9800000001</v>
      </c>
      <c r="I45" s="67">
        <f t="shared" si="3"/>
        <v>880965.28000000014</v>
      </c>
    </row>
    <row r="46" spans="1:9" ht="16.8">
      <c r="A46" s="67">
        <v>53</v>
      </c>
      <c r="B46" s="79">
        <v>46099.656944444447</v>
      </c>
      <c r="C46" s="125" t="s">
        <v>481</v>
      </c>
      <c r="D46" t="s">
        <v>433</v>
      </c>
      <c r="E46" t="s">
        <v>315</v>
      </c>
      <c r="F46" s="104">
        <v>-89.22</v>
      </c>
      <c r="G46" s="104">
        <v>-89.22</v>
      </c>
      <c r="H46" s="70">
        <f t="shared" si="2"/>
        <v>880501.76000000013</v>
      </c>
      <c r="I46" s="67">
        <f t="shared" si="3"/>
        <v>880876.06000000017</v>
      </c>
    </row>
    <row r="47" spans="1:9" ht="16.8">
      <c r="A47" s="67">
        <v>54</v>
      </c>
      <c r="B47" s="79">
        <v>46099.656944444447</v>
      </c>
      <c r="C47" s="137" t="s">
        <v>469</v>
      </c>
      <c r="D47" t="s">
        <v>433</v>
      </c>
      <c r="E47" t="s">
        <v>315</v>
      </c>
      <c r="F47" s="104">
        <v>-253.88</v>
      </c>
      <c r="G47" s="104">
        <v>-253.88</v>
      </c>
      <c r="H47" s="70">
        <f t="shared" si="2"/>
        <v>880247.88000000012</v>
      </c>
      <c r="I47" s="67">
        <f t="shared" si="3"/>
        <v>880622.18000000017</v>
      </c>
    </row>
    <row r="48" spans="1:9" ht="16.8">
      <c r="A48" s="67">
        <v>55</v>
      </c>
      <c r="B48" s="79">
        <v>46099.656944444447</v>
      </c>
      <c r="C48" s="125" t="s">
        <v>478</v>
      </c>
      <c r="D48" t="s">
        <v>433</v>
      </c>
      <c r="E48" t="s">
        <v>315</v>
      </c>
      <c r="F48" s="104">
        <v>-346.29</v>
      </c>
      <c r="G48" s="104">
        <v>-346.29</v>
      </c>
      <c r="H48" s="70">
        <f t="shared" si="2"/>
        <v>879901.59000000008</v>
      </c>
      <c r="I48" s="67">
        <f t="shared" si="3"/>
        <v>880275.89000000013</v>
      </c>
    </row>
    <row r="49" spans="1:9" ht="16.8">
      <c r="A49" s="67">
        <v>56</v>
      </c>
      <c r="B49" s="79">
        <v>46099.656944444447</v>
      </c>
      <c r="C49" s="125" t="s">
        <v>452</v>
      </c>
      <c r="D49" t="s">
        <v>433</v>
      </c>
      <c r="E49" t="s">
        <v>315</v>
      </c>
      <c r="F49" s="104">
        <v>-172.8</v>
      </c>
      <c r="G49" s="104">
        <v>-172.8</v>
      </c>
      <c r="H49" s="70">
        <f t="shared" si="2"/>
        <v>879728.79</v>
      </c>
      <c r="I49" s="67">
        <f t="shared" si="3"/>
        <v>880103.09000000008</v>
      </c>
    </row>
    <row r="50" spans="1:9" ht="16.8">
      <c r="A50" s="67">
        <v>57</v>
      </c>
      <c r="B50" s="79">
        <v>46099.656944444447</v>
      </c>
      <c r="C50" s="125" t="s">
        <v>465</v>
      </c>
      <c r="D50" t="s">
        <v>433</v>
      </c>
      <c r="E50" t="s">
        <v>315</v>
      </c>
      <c r="F50" s="104">
        <v>-324.45</v>
      </c>
      <c r="G50" s="104">
        <v>-324.45</v>
      </c>
      <c r="H50" s="70">
        <f t="shared" si="2"/>
        <v>879404.34000000008</v>
      </c>
      <c r="I50" s="67">
        <f t="shared" si="3"/>
        <v>879778.64000000013</v>
      </c>
    </row>
    <row r="51" spans="1:9" ht="16.8">
      <c r="A51" s="67">
        <v>58</v>
      </c>
      <c r="B51" s="79">
        <v>46099.656944444447</v>
      </c>
      <c r="C51" s="125" t="s">
        <v>466</v>
      </c>
      <c r="D51" t="s">
        <v>433</v>
      </c>
      <c r="E51" t="s">
        <v>315</v>
      </c>
      <c r="F51" s="104">
        <v>-118.88</v>
      </c>
      <c r="G51" s="104">
        <v>-118.88</v>
      </c>
      <c r="H51" s="70">
        <f t="shared" si="2"/>
        <v>879285.46000000008</v>
      </c>
      <c r="I51" s="67">
        <f t="shared" si="3"/>
        <v>879659.76000000013</v>
      </c>
    </row>
    <row r="52" spans="1:9" ht="16.8">
      <c r="A52" s="67">
        <v>59</v>
      </c>
      <c r="B52" s="79">
        <v>46099.656944444447</v>
      </c>
      <c r="C52" s="125" t="s">
        <v>461</v>
      </c>
      <c r="D52" t="s">
        <v>433</v>
      </c>
      <c r="E52" t="s">
        <v>315</v>
      </c>
      <c r="F52" s="104">
        <v>-307.49</v>
      </c>
      <c r="G52" s="104">
        <v>-307.49</v>
      </c>
      <c r="H52" s="70">
        <f t="shared" si="2"/>
        <v>878977.97000000009</v>
      </c>
      <c r="I52" s="67">
        <f t="shared" si="3"/>
        <v>879352.27000000014</v>
      </c>
    </row>
    <row r="53" spans="1:9">
      <c r="A53" s="67">
        <v>60</v>
      </c>
      <c r="B53" s="79">
        <v>46099.656944444447</v>
      </c>
      <c r="C53" s="134" t="s">
        <v>498</v>
      </c>
      <c r="D53" t="s">
        <v>433</v>
      </c>
      <c r="E53" t="s">
        <v>315</v>
      </c>
      <c r="F53" s="104">
        <v>-267.66000000000003</v>
      </c>
      <c r="G53" s="104">
        <v>-267.66000000000003</v>
      </c>
      <c r="H53" s="70">
        <f t="shared" si="2"/>
        <v>878710.31</v>
      </c>
      <c r="I53" s="67">
        <f t="shared" si="3"/>
        <v>879084.6100000001</v>
      </c>
    </row>
    <row r="54" spans="1:9" ht="16.8">
      <c r="A54" s="67">
        <v>61</v>
      </c>
      <c r="B54" s="79">
        <v>46099.656944444447</v>
      </c>
      <c r="C54" s="125" t="s">
        <v>467</v>
      </c>
      <c r="D54" t="s">
        <v>433</v>
      </c>
      <c r="E54" t="s">
        <v>315</v>
      </c>
      <c r="F54" s="104">
        <v>-216.21</v>
      </c>
      <c r="G54" s="104">
        <v>-216.21</v>
      </c>
      <c r="H54" s="70">
        <f t="shared" si="2"/>
        <v>878494.10000000009</v>
      </c>
      <c r="I54" s="67">
        <f t="shared" si="3"/>
        <v>878868.40000000014</v>
      </c>
    </row>
    <row r="55" spans="1:9" ht="16.8">
      <c r="A55" s="67">
        <v>62</v>
      </c>
      <c r="B55" s="79">
        <v>46099.656944444447</v>
      </c>
      <c r="C55" s="125" t="s">
        <v>463</v>
      </c>
      <c r="D55" t="s">
        <v>433</v>
      </c>
      <c r="E55" t="s">
        <v>315</v>
      </c>
      <c r="F55" s="104">
        <v>-292.88</v>
      </c>
      <c r="G55" s="104">
        <v>-292.88</v>
      </c>
      <c r="H55" s="70">
        <f t="shared" si="2"/>
        <v>878201.22000000009</v>
      </c>
      <c r="I55" s="67">
        <f t="shared" si="3"/>
        <v>878575.52000000014</v>
      </c>
    </row>
    <row r="56" spans="1:9" ht="16.8">
      <c r="A56" s="67">
        <v>63</v>
      </c>
      <c r="B56" s="79">
        <v>46099.656944444447</v>
      </c>
      <c r="C56" s="125" t="s">
        <v>457</v>
      </c>
      <c r="D56" t="s">
        <v>433</v>
      </c>
      <c r="E56" t="s">
        <v>315</v>
      </c>
      <c r="F56" s="104">
        <v>-138.83000000000001</v>
      </c>
      <c r="G56" s="104">
        <v>-138.83000000000001</v>
      </c>
      <c r="H56" s="70">
        <f t="shared" si="2"/>
        <v>878062.39000000013</v>
      </c>
      <c r="I56" s="67">
        <f t="shared" si="3"/>
        <v>878436.69000000018</v>
      </c>
    </row>
    <row r="57" spans="1:9" ht="16.8">
      <c r="A57" s="67">
        <v>64</v>
      </c>
      <c r="B57" s="79">
        <v>46099.656944444447</v>
      </c>
      <c r="C57" s="125" t="s">
        <v>475</v>
      </c>
      <c r="D57" t="s">
        <v>433</v>
      </c>
      <c r="E57" t="s">
        <v>315</v>
      </c>
      <c r="F57" s="104">
        <v>-213.49</v>
      </c>
      <c r="G57" s="104">
        <v>-213.49</v>
      </c>
      <c r="H57" s="70">
        <f t="shared" si="2"/>
        <v>877848.90000000014</v>
      </c>
      <c r="I57" s="67">
        <f t="shared" si="3"/>
        <v>878223.20000000019</v>
      </c>
    </row>
    <row r="58" spans="1:9" ht="16.8">
      <c r="A58" s="67">
        <v>65</v>
      </c>
      <c r="B58" s="79">
        <v>46099.656944444447</v>
      </c>
      <c r="C58" s="125" t="s">
        <v>485</v>
      </c>
      <c r="D58" t="s">
        <v>433</v>
      </c>
      <c r="E58" t="s">
        <v>315</v>
      </c>
      <c r="F58" s="104">
        <v>-47.13</v>
      </c>
      <c r="G58" s="104">
        <v>-47.13</v>
      </c>
      <c r="H58" s="70">
        <f t="shared" si="2"/>
        <v>877801.77000000014</v>
      </c>
      <c r="I58" s="67">
        <f t="shared" si="3"/>
        <v>878176.07000000018</v>
      </c>
    </row>
    <row r="59" spans="1:9">
      <c r="A59" s="67">
        <v>66</v>
      </c>
      <c r="B59" s="79">
        <v>46099.656944444447</v>
      </c>
      <c r="C59" s="131" t="s">
        <v>10</v>
      </c>
      <c r="D59" t="s">
        <v>13</v>
      </c>
      <c r="E59" t="s">
        <v>315</v>
      </c>
      <c r="F59" s="104">
        <v>-190.42</v>
      </c>
      <c r="G59" s="104">
        <v>-190.42</v>
      </c>
      <c r="H59" s="70">
        <f t="shared" si="2"/>
        <v>877611.35000000009</v>
      </c>
      <c r="I59" s="67">
        <f t="shared" si="3"/>
        <v>877985.65000000014</v>
      </c>
    </row>
    <row r="60" spans="1:9" ht="16.8">
      <c r="A60" s="67">
        <v>67</v>
      </c>
      <c r="B60" s="79">
        <v>46099.656944444447</v>
      </c>
      <c r="C60" s="125" t="s">
        <v>484</v>
      </c>
      <c r="D60" t="s">
        <v>433</v>
      </c>
      <c r="E60" t="s">
        <v>315</v>
      </c>
      <c r="F60" s="104">
        <v>-245.93</v>
      </c>
      <c r="G60" s="104">
        <v>-245.93</v>
      </c>
      <c r="H60" s="70">
        <f t="shared" si="2"/>
        <v>877365.42</v>
      </c>
      <c r="I60" s="67">
        <f t="shared" si="3"/>
        <v>877739.72000000009</v>
      </c>
    </row>
    <row r="61" spans="1:9">
      <c r="A61" s="67">
        <v>68</v>
      </c>
      <c r="B61" s="79">
        <v>46099.656944444447</v>
      </c>
      <c r="C61" s="134" t="s">
        <v>543</v>
      </c>
      <c r="D61" t="s">
        <v>433</v>
      </c>
      <c r="E61" t="s">
        <v>315</v>
      </c>
      <c r="F61" s="104">
        <v>-190.42</v>
      </c>
      <c r="G61" s="104">
        <v>-190.42</v>
      </c>
      <c r="H61" s="70">
        <f t="shared" si="2"/>
        <v>877175</v>
      </c>
      <c r="I61" s="67">
        <f t="shared" si="3"/>
        <v>877549.3</v>
      </c>
    </row>
    <row r="62" spans="1:9">
      <c r="A62" s="67">
        <v>69</v>
      </c>
      <c r="B62" s="79">
        <v>46099.656944444447</v>
      </c>
      <c r="C62" s="135" t="s">
        <v>489</v>
      </c>
      <c r="D62" t="s">
        <v>433</v>
      </c>
      <c r="E62" t="s">
        <v>315</v>
      </c>
      <c r="F62" s="104">
        <v>-794.18</v>
      </c>
      <c r="G62" s="104">
        <v>-794.18</v>
      </c>
      <c r="H62" s="70">
        <f t="shared" si="2"/>
        <v>876380.82</v>
      </c>
      <c r="I62" s="67">
        <f t="shared" si="3"/>
        <v>876755.12</v>
      </c>
    </row>
    <row r="63" spans="1:9" ht="16.8">
      <c r="A63" s="67">
        <v>70</v>
      </c>
      <c r="B63" s="79">
        <v>46099.656944444447</v>
      </c>
      <c r="C63" s="125" t="s">
        <v>451</v>
      </c>
      <c r="D63" t="s">
        <v>433</v>
      </c>
      <c r="E63" t="s">
        <v>315</v>
      </c>
      <c r="F63" s="103">
        <v>-1036.06</v>
      </c>
      <c r="G63" s="103">
        <v>-1036.06</v>
      </c>
      <c r="H63" s="70">
        <f t="shared" si="2"/>
        <v>875344.75999999989</v>
      </c>
      <c r="I63" s="67">
        <f t="shared" si="3"/>
        <v>875719.05999999994</v>
      </c>
    </row>
    <row r="64" spans="1:9" ht="16.8">
      <c r="A64" s="67">
        <v>71</v>
      </c>
      <c r="B64" s="79">
        <v>46099.656944444447</v>
      </c>
      <c r="C64" s="125" t="s">
        <v>462</v>
      </c>
      <c r="D64" t="s">
        <v>433</v>
      </c>
      <c r="E64" t="s">
        <v>315</v>
      </c>
      <c r="F64" s="104">
        <v>-437.38</v>
      </c>
      <c r="G64" s="104">
        <v>-437.38</v>
      </c>
      <c r="H64" s="70">
        <f t="shared" si="2"/>
        <v>874907.37999999989</v>
      </c>
      <c r="I64" s="67">
        <f t="shared" si="3"/>
        <v>875281.67999999993</v>
      </c>
    </row>
    <row r="65" spans="1:9">
      <c r="A65" s="67">
        <v>72</v>
      </c>
      <c r="B65" s="79">
        <v>46099.656944444447</v>
      </c>
      <c r="C65" s="134" t="s">
        <v>526</v>
      </c>
      <c r="D65" t="s">
        <v>433</v>
      </c>
      <c r="E65" t="s">
        <v>315</v>
      </c>
      <c r="F65" s="104">
        <v>-429.89</v>
      </c>
      <c r="G65" s="104">
        <v>-429.89</v>
      </c>
      <c r="H65" s="70">
        <f t="shared" si="2"/>
        <v>874477.48999999987</v>
      </c>
      <c r="I65" s="67">
        <f t="shared" si="3"/>
        <v>874851.78999999992</v>
      </c>
    </row>
    <row r="66" spans="1:9">
      <c r="A66" s="67">
        <v>73</v>
      </c>
      <c r="B66" s="79">
        <v>46099.656944444447</v>
      </c>
      <c r="C66" s="134" t="s">
        <v>486</v>
      </c>
      <c r="D66" t="s">
        <v>433</v>
      </c>
      <c r="E66" t="s">
        <v>315</v>
      </c>
      <c r="F66" s="104">
        <v>-13.04</v>
      </c>
      <c r="G66" s="104">
        <v>-13.04</v>
      </c>
      <c r="H66" s="70">
        <f t="shared" si="2"/>
        <v>874464.44999999984</v>
      </c>
      <c r="I66" s="67">
        <f t="shared" si="3"/>
        <v>874838.74999999988</v>
      </c>
    </row>
    <row r="67" spans="1:9" ht="16.8">
      <c r="A67" s="67">
        <v>74</v>
      </c>
      <c r="B67" s="79">
        <v>46099.656944444447</v>
      </c>
      <c r="C67" s="125" t="s">
        <v>474</v>
      </c>
      <c r="D67" t="s">
        <v>433</v>
      </c>
      <c r="E67" t="s">
        <v>315</v>
      </c>
      <c r="F67" s="104">
        <v>-94.66</v>
      </c>
      <c r="G67" s="104">
        <v>-94.66</v>
      </c>
      <c r="H67" s="70">
        <f t="shared" si="2"/>
        <v>874369.7899999998</v>
      </c>
      <c r="I67" s="67">
        <f t="shared" si="3"/>
        <v>874744.08999999985</v>
      </c>
    </row>
    <row r="68" spans="1:9">
      <c r="A68" s="67">
        <v>75</v>
      </c>
      <c r="B68" s="79">
        <v>46099.656944444447</v>
      </c>
      <c r="C68" s="134" t="s">
        <v>500</v>
      </c>
      <c r="D68" t="s">
        <v>433</v>
      </c>
      <c r="E68" t="s">
        <v>315</v>
      </c>
      <c r="F68" s="104">
        <v>-190.02</v>
      </c>
      <c r="G68" s="104">
        <v>-190.02</v>
      </c>
      <c r="H68" s="70">
        <f t="shared" ref="H68:H99" si="4">H67+F68</f>
        <v>874179.76999999979</v>
      </c>
      <c r="I68" s="67">
        <f t="shared" ref="I68:I99" si="5">I67+G68</f>
        <v>874554.06999999983</v>
      </c>
    </row>
    <row r="69" spans="1:9" ht="16.8">
      <c r="A69" s="67">
        <v>76</v>
      </c>
      <c r="B69" s="79">
        <v>46099.656944444447</v>
      </c>
      <c r="C69" s="125" t="s">
        <v>483</v>
      </c>
      <c r="D69" t="s">
        <v>433</v>
      </c>
      <c r="E69" t="s">
        <v>315</v>
      </c>
      <c r="F69" s="104">
        <v>-81.77</v>
      </c>
      <c r="G69" s="104">
        <v>-81.77</v>
      </c>
      <c r="H69" s="70">
        <f t="shared" si="4"/>
        <v>874097.99999999977</v>
      </c>
      <c r="I69" s="67">
        <f t="shared" si="5"/>
        <v>874472.29999999981</v>
      </c>
    </row>
    <row r="70" spans="1:9" ht="16.8">
      <c r="A70" s="67">
        <v>77</v>
      </c>
      <c r="B70" s="79">
        <v>46099.656944444447</v>
      </c>
      <c r="C70" s="125" t="s">
        <v>455</v>
      </c>
      <c r="D70" t="s">
        <v>433</v>
      </c>
      <c r="E70" t="s">
        <v>315</v>
      </c>
      <c r="F70" s="104">
        <v>50.78</v>
      </c>
      <c r="G70" s="104">
        <v>50.78</v>
      </c>
      <c r="H70" s="70">
        <f t="shared" si="4"/>
        <v>874148.7799999998</v>
      </c>
      <c r="I70" s="67">
        <f t="shared" si="5"/>
        <v>874523.07999999984</v>
      </c>
    </row>
    <row r="71" spans="1:9" ht="33.6">
      <c r="A71" s="67">
        <v>78</v>
      </c>
      <c r="B71" s="79">
        <v>46099.656944444447</v>
      </c>
      <c r="C71" s="136" t="s">
        <v>517</v>
      </c>
      <c r="D71" t="s">
        <v>433</v>
      </c>
      <c r="E71" t="s">
        <v>375</v>
      </c>
      <c r="F71" s="104">
        <v>-90.27</v>
      </c>
      <c r="G71" s="104">
        <v>-90.27</v>
      </c>
      <c r="H71" s="70">
        <f t="shared" si="4"/>
        <v>874058.50999999978</v>
      </c>
      <c r="I71" s="67">
        <f t="shared" si="5"/>
        <v>874432.80999999982</v>
      </c>
    </row>
    <row r="72" spans="1:9" ht="16.8">
      <c r="A72" s="67">
        <v>79</v>
      </c>
      <c r="B72" s="79">
        <v>46099.656944444447</v>
      </c>
      <c r="C72" s="125" t="s">
        <v>518</v>
      </c>
      <c r="D72" t="s">
        <v>433</v>
      </c>
      <c r="E72" t="s">
        <v>375</v>
      </c>
      <c r="F72" s="104">
        <v>-38.78</v>
      </c>
      <c r="G72" s="104">
        <v>-38.78</v>
      </c>
      <c r="H72" s="70">
        <f t="shared" si="4"/>
        <v>874019.72999999975</v>
      </c>
      <c r="I72" s="67">
        <f t="shared" si="5"/>
        <v>874394.0299999998</v>
      </c>
    </row>
    <row r="73" spans="1:9">
      <c r="A73" s="67">
        <v>80</v>
      </c>
      <c r="B73" s="79">
        <v>46099.656944444447</v>
      </c>
      <c r="C73" s="135" t="s">
        <v>448</v>
      </c>
      <c r="D73" t="s">
        <v>433</v>
      </c>
      <c r="E73" t="s">
        <v>315</v>
      </c>
      <c r="F73" s="104">
        <v>968.4</v>
      </c>
      <c r="G73" s="104">
        <v>968.4</v>
      </c>
      <c r="H73" s="70">
        <f t="shared" si="4"/>
        <v>874988.12999999977</v>
      </c>
      <c r="I73" s="67">
        <f t="shared" si="5"/>
        <v>875362.42999999982</v>
      </c>
    </row>
    <row r="74" spans="1:9">
      <c r="A74" s="67">
        <v>81</v>
      </c>
      <c r="B74" s="79">
        <v>46099.656944444447</v>
      </c>
      <c r="C74" s="134" t="s">
        <v>488</v>
      </c>
      <c r="D74" t="s">
        <v>433</v>
      </c>
      <c r="E74" t="s">
        <v>315</v>
      </c>
      <c r="F74" s="104">
        <v>9.3699999999999992</v>
      </c>
      <c r="G74" s="104">
        <v>9.3699999999999992</v>
      </c>
      <c r="H74" s="70">
        <f t="shared" si="4"/>
        <v>874997.49999999977</v>
      </c>
      <c r="I74" s="67">
        <f t="shared" si="5"/>
        <v>875371.79999999981</v>
      </c>
    </row>
    <row r="75" spans="1:9">
      <c r="A75" s="67">
        <v>82</v>
      </c>
      <c r="B75" s="79">
        <v>46099.656944444447</v>
      </c>
      <c r="C75" s="134" t="s">
        <v>487</v>
      </c>
      <c r="D75" t="s">
        <v>433</v>
      </c>
      <c r="E75" t="s">
        <v>315</v>
      </c>
      <c r="F75" s="104">
        <v>115.49</v>
      </c>
      <c r="G75" s="104">
        <v>115.49</v>
      </c>
      <c r="H75" s="70">
        <f t="shared" si="4"/>
        <v>875112.98999999976</v>
      </c>
      <c r="I75" s="67">
        <f t="shared" si="5"/>
        <v>875487.2899999998</v>
      </c>
    </row>
    <row r="76" spans="1:9" ht="16.8">
      <c r="A76" s="67">
        <v>83</v>
      </c>
      <c r="B76" s="79">
        <v>46099.656944444447</v>
      </c>
      <c r="C76" s="125" t="s">
        <v>476</v>
      </c>
      <c r="D76" t="s">
        <v>433</v>
      </c>
      <c r="E76" t="s">
        <v>315</v>
      </c>
      <c r="F76" s="104">
        <v>57.87</v>
      </c>
      <c r="G76" s="104">
        <v>57.87</v>
      </c>
      <c r="H76" s="70">
        <f t="shared" si="4"/>
        <v>875170.85999999975</v>
      </c>
      <c r="I76" s="67">
        <f t="shared" si="5"/>
        <v>875545.1599999998</v>
      </c>
    </row>
    <row r="77" spans="1:9">
      <c r="A77" s="67">
        <v>84</v>
      </c>
      <c r="B77" s="79">
        <v>46099.656944444447</v>
      </c>
      <c r="C77" s="134" t="s">
        <v>494</v>
      </c>
      <c r="D77" t="s">
        <v>433</v>
      </c>
      <c r="E77" t="s">
        <v>315</v>
      </c>
      <c r="F77" s="104">
        <v>663.46</v>
      </c>
      <c r="G77" s="104">
        <v>663.46</v>
      </c>
      <c r="H77" s="70">
        <f t="shared" si="4"/>
        <v>875834.31999999972</v>
      </c>
      <c r="I77" s="67">
        <f t="shared" si="5"/>
        <v>876208.61999999976</v>
      </c>
    </row>
    <row r="78" spans="1:9" ht="16.8">
      <c r="A78" s="67">
        <v>85</v>
      </c>
      <c r="B78" s="79">
        <v>46099.656944444447</v>
      </c>
      <c r="C78" s="125" t="s">
        <v>453</v>
      </c>
      <c r="D78" t="s">
        <v>433</v>
      </c>
      <c r="E78" t="s">
        <v>315</v>
      </c>
      <c r="F78" s="104">
        <v>191.69</v>
      </c>
      <c r="G78" s="104">
        <v>191.69</v>
      </c>
      <c r="H78" s="70">
        <f t="shared" si="4"/>
        <v>876026.00999999966</v>
      </c>
      <c r="I78" s="67">
        <f t="shared" si="5"/>
        <v>876400.30999999971</v>
      </c>
    </row>
    <row r="79" spans="1:9" ht="16.8">
      <c r="A79" s="67">
        <v>86</v>
      </c>
      <c r="B79" s="79">
        <v>46099.656944444447</v>
      </c>
      <c r="C79" s="125" t="s">
        <v>471</v>
      </c>
      <c r="D79" t="s">
        <v>433</v>
      </c>
      <c r="E79" t="s">
        <v>315</v>
      </c>
      <c r="F79" s="104">
        <v>-31.46</v>
      </c>
      <c r="G79" s="104">
        <v>-31.46</v>
      </c>
      <c r="H79" s="70">
        <f t="shared" si="4"/>
        <v>875994.5499999997</v>
      </c>
      <c r="I79" s="67">
        <f t="shared" si="5"/>
        <v>876368.84999999974</v>
      </c>
    </row>
    <row r="80" spans="1:9">
      <c r="A80" s="67">
        <v>87</v>
      </c>
      <c r="B80" s="79">
        <v>46099.656944444447</v>
      </c>
      <c r="C80" s="134" t="s">
        <v>492</v>
      </c>
      <c r="D80" t="s">
        <v>433</v>
      </c>
      <c r="E80" t="s">
        <v>315</v>
      </c>
      <c r="F80" s="104">
        <v>11.46</v>
      </c>
      <c r="G80" s="104">
        <v>11.46</v>
      </c>
      <c r="H80" s="70">
        <f t="shared" si="4"/>
        <v>876006.00999999966</v>
      </c>
      <c r="I80" s="67">
        <f t="shared" si="5"/>
        <v>876380.30999999971</v>
      </c>
    </row>
    <row r="81" spans="1:9">
      <c r="A81" s="67">
        <v>88</v>
      </c>
      <c r="B81" s="79">
        <v>46099.656944444447</v>
      </c>
      <c r="C81" s="134" t="s">
        <v>490</v>
      </c>
      <c r="D81" t="s">
        <v>433</v>
      </c>
      <c r="E81" t="s">
        <v>315</v>
      </c>
      <c r="F81" s="104">
        <v>3.71</v>
      </c>
      <c r="G81" s="104">
        <v>3.71</v>
      </c>
      <c r="H81" s="70">
        <f t="shared" si="4"/>
        <v>876009.71999999962</v>
      </c>
      <c r="I81" s="67">
        <f t="shared" si="5"/>
        <v>876384.01999999967</v>
      </c>
    </row>
    <row r="82" spans="1:9" ht="16.8">
      <c r="A82" s="67">
        <v>89</v>
      </c>
      <c r="B82" s="79">
        <v>46099.656944444447</v>
      </c>
      <c r="C82" s="125" t="s">
        <v>460</v>
      </c>
      <c r="D82" t="s">
        <v>433</v>
      </c>
      <c r="E82" t="s">
        <v>315</v>
      </c>
      <c r="F82" s="104">
        <v>341.31</v>
      </c>
      <c r="G82" s="104">
        <v>341.31</v>
      </c>
      <c r="H82" s="70">
        <f t="shared" si="4"/>
        <v>876351.02999999968</v>
      </c>
      <c r="I82" s="67">
        <f t="shared" si="5"/>
        <v>876725.32999999973</v>
      </c>
    </row>
    <row r="83" spans="1:9">
      <c r="A83" s="67">
        <v>90</v>
      </c>
      <c r="B83" s="79">
        <v>46099.656944444447</v>
      </c>
      <c r="C83" s="134" t="s">
        <v>491</v>
      </c>
      <c r="D83" t="s">
        <v>433</v>
      </c>
      <c r="E83" t="s">
        <v>315</v>
      </c>
      <c r="F83" s="104">
        <v>515.83000000000004</v>
      </c>
      <c r="G83" s="104">
        <v>515.83000000000004</v>
      </c>
      <c r="H83" s="70">
        <f t="shared" si="4"/>
        <v>876866.85999999964</v>
      </c>
      <c r="I83" s="67">
        <f t="shared" si="5"/>
        <v>877241.15999999968</v>
      </c>
    </row>
    <row r="84" spans="1:9" ht="16.8">
      <c r="A84" s="67">
        <v>91</v>
      </c>
      <c r="B84" s="79">
        <v>46099.656944444447</v>
      </c>
      <c r="C84" s="125" t="s">
        <v>473</v>
      </c>
      <c r="D84" t="s">
        <v>433</v>
      </c>
      <c r="E84" t="s">
        <v>315</v>
      </c>
      <c r="F84" s="104">
        <v>189.95</v>
      </c>
      <c r="G84" s="104">
        <v>189.95</v>
      </c>
      <c r="H84" s="70">
        <f t="shared" si="4"/>
        <v>877056.80999999959</v>
      </c>
      <c r="I84" s="67">
        <f t="shared" si="5"/>
        <v>877431.10999999964</v>
      </c>
    </row>
    <row r="85" spans="1:9" ht="16.8">
      <c r="A85" s="67">
        <v>92</v>
      </c>
      <c r="B85" s="79">
        <v>46099.656944444447</v>
      </c>
      <c r="C85" s="125" t="s">
        <v>464</v>
      </c>
      <c r="D85" t="s">
        <v>433</v>
      </c>
      <c r="E85" t="s">
        <v>315</v>
      </c>
      <c r="F85" s="104">
        <v>215.1</v>
      </c>
      <c r="G85" s="104">
        <v>215.1</v>
      </c>
      <c r="H85" s="70">
        <f t="shared" si="4"/>
        <v>877271.90999999957</v>
      </c>
      <c r="I85" s="67">
        <f t="shared" si="5"/>
        <v>877646.20999999961</v>
      </c>
    </row>
    <row r="86" spans="1:9">
      <c r="A86" s="67">
        <v>93</v>
      </c>
      <c r="B86" s="79">
        <v>46099.656944444447</v>
      </c>
      <c r="C86" s="134" t="s">
        <v>499</v>
      </c>
      <c r="D86" t="s">
        <v>433</v>
      </c>
      <c r="E86" t="s">
        <v>315</v>
      </c>
      <c r="F86" s="104">
        <v>-361.22</v>
      </c>
      <c r="G86" s="104">
        <v>-361.22</v>
      </c>
      <c r="H86" s="70">
        <f t="shared" si="4"/>
        <v>876910.68999999959</v>
      </c>
      <c r="I86" s="67">
        <f t="shared" si="5"/>
        <v>877284.98999999964</v>
      </c>
    </row>
    <row r="87" spans="1:9" ht="16.8">
      <c r="A87" s="67">
        <v>94</v>
      </c>
      <c r="B87" s="79">
        <v>46099.656944444447</v>
      </c>
      <c r="C87" s="125" t="s">
        <v>454</v>
      </c>
      <c r="D87" t="s">
        <v>433</v>
      </c>
      <c r="E87" t="s">
        <v>315</v>
      </c>
      <c r="F87" s="104">
        <v>243.45</v>
      </c>
      <c r="G87" s="104">
        <v>243.45</v>
      </c>
      <c r="H87" s="70">
        <f t="shared" si="4"/>
        <v>877154.13999999955</v>
      </c>
      <c r="I87" s="67">
        <f t="shared" si="5"/>
        <v>877528.43999999959</v>
      </c>
    </row>
    <row r="88" spans="1:9">
      <c r="A88" s="67">
        <v>95</v>
      </c>
      <c r="B88" s="79">
        <v>46099.656944444447</v>
      </c>
      <c r="C88" s="134" t="s">
        <v>496</v>
      </c>
      <c r="D88" t="s">
        <v>433</v>
      </c>
      <c r="E88" t="s">
        <v>315</v>
      </c>
      <c r="F88" s="104">
        <v>-80.819999999999993</v>
      </c>
      <c r="G88" s="104">
        <v>-80.819999999999993</v>
      </c>
      <c r="H88" s="70">
        <f t="shared" si="4"/>
        <v>877073.3199999996</v>
      </c>
      <c r="I88" s="67">
        <f t="shared" si="5"/>
        <v>877447.61999999965</v>
      </c>
    </row>
    <row r="89" spans="1:9" ht="16.8">
      <c r="A89" s="67">
        <v>96</v>
      </c>
      <c r="B89" s="79">
        <v>46099.656944444447</v>
      </c>
      <c r="C89" s="137" t="s">
        <v>472</v>
      </c>
      <c r="D89" t="s">
        <v>433</v>
      </c>
      <c r="E89" t="s">
        <v>315</v>
      </c>
      <c r="F89" s="104">
        <v>-70.459999999999994</v>
      </c>
      <c r="G89" s="104">
        <v>-70.459999999999994</v>
      </c>
      <c r="H89" s="70">
        <f t="shared" si="4"/>
        <v>877002.85999999964</v>
      </c>
      <c r="I89" s="67">
        <f t="shared" si="5"/>
        <v>877377.15999999968</v>
      </c>
    </row>
    <row r="90" spans="1:9" ht="16.8">
      <c r="A90" s="67">
        <v>97</v>
      </c>
      <c r="B90" s="79">
        <v>46099.656944444447</v>
      </c>
      <c r="C90" s="125" t="s">
        <v>479</v>
      </c>
      <c r="D90" t="s">
        <v>433</v>
      </c>
      <c r="E90" t="s">
        <v>315</v>
      </c>
      <c r="F90" s="104">
        <v>-22.88</v>
      </c>
      <c r="G90" s="104">
        <v>-22.88</v>
      </c>
      <c r="H90" s="70">
        <f t="shared" si="4"/>
        <v>876979.97999999963</v>
      </c>
      <c r="I90" s="67">
        <f t="shared" si="5"/>
        <v>877354.27999999968</v>
      </c>
    </row>
    <row r="91" spans="1:9" ht="16.8">
      <c r="A91" s="67">
        <v>98</v>
      </c>
      <c r="B91" s="79">
        <v>46099.656944444447</v>
      </c>
      <c r="C91" s="125" t="s">
        <v>480</v>
      </c>
      <c r="D91" t="s">
        <v>433</v>
      </c>
      <c r="E91" t="s">
        <v>315</v>
      </c>
      <c r="F91" s="104">
        <v>83.43</v>
      </c>
      <c r="G91" s="104">
        <v>83.43</v>
      </c>
      <c r="H91" s="70">
        <f t="shared" si="4"/>
        <v>877063.40999999968</v>
      </c>
      <c r="I91" s="67">
        <f t="shared" si="5"/>
        <v>877437.70999999973</v>
      </c>
    </row>
    <row r="92" spans="1:9" ht="16.8">
      <c r="A92" s="67">
        <v>99</v>
      </c>
      <c r="B92" s="79">
        <v>46099.656944444447</v>
      </c>
      <c r="C92" s="134" t="s">
        <v>458</v>
      </c>
      <c r="D92" t="s">
        <v>433</v>
      </c>
      <c r="E92" t="s">
        <v>315</v>
      </c>
      <c r="F92" s="138">
        <v>478</v>
      </c>
      <c r="G92" s="138">
        <v>478</v>
      </c>
      <c r="H92" s="70">
        <f t="shared" si="4"/>
        <v>877541.40999999968</v>
      </c>
      <c r="I92" s="67">
        <f t="shared" si="5"/>
        <v>877915.70999999973</v>
      </c>
    </row>
    <row r="93" spans="1:9" ht="16.8">
      <c r="A93" s="67">
        <v>100</v>
      </c>
      <c r="B93" s="79">
        <v>46099.656944444447</v>
      </c>
      <c r="C93" s="134" t="s">
        <v>495</v>
      </c>
      <c r="D93" t="s">
        <v>433</v>
      </c>
      <c r="E93" t="s">
        <v>315</v>
      </c>
      <c r="F93" s="138">
        <v>516.75</v>
      </c>
      <c r="G93" s="138">
        <v>516.75</v>
      </c>
      <c r="H93" s="70">
        <f t="shared" si="4"/>
        <v>878058.15999999968</v>
      </c>
      <c r="I93" s="67">
        <f t="shared" si="5"/>
        <v>878432.45999999973</v>
      </c>
    </row>
    <row r="94" spans="1:9" ht="16.8">
      <c r="A94" s="67">
        <v>101</v>
      </c>
      <c r="B94" s="79">
        <v>46099.656944444447</v>
      </c>
      <c r="C94" s="125" t="s">
        <v>482</v>
      </c>
      <c r="D94" t="s">
        <v>433</v>
      </c>
      <c r="E94" t="s">
        <v>315</v>
      </c>
      <c r="F94" s="138">
        <v>91.02</v>
      </c>
      <c r="G94" s="138">
        <v>91.02</v>
      </c>
      <c r="H94" s="70">
        <f t="shared" si="4"/>
        <v>878149.1799999997</v>
      </c>
      <c r="I94" s="67">
        <f t="shared" si="5"/>
        <v>878523.47999999975</v>
      </c>
    </row>
    <row r="95" spans="1:9" ht="16.8">
      <c r="A95" s="67">
        <v>102</v>
      </c>
      <c r="B95" s="79">
        <v>46099.656944444447</v>
      </c>
      <c r="C95" s="125" t="s">
        <v>450</v>
      </c>
      <c r="D95" t="s">
        <v>433</v>
      </c>
      <c r="E95" t="s">
        <v>315</v>
      </c>
      <c r="F95" s="138">
        <v>921.69</v>
      </c>
      <c r="G95" s="138">
        <v>921.69</v>
      </c>
      <c r="H95" s="70">
        <f t="shared" si="4"/>
        <v>879070.86999999965</v>
      </c>
      <c r="I95" s="67">
        <f t="shared" si="5"/>
        <v>879445.16999999969</v>
      </c>
    </row>
    <row r="96" spans="1:9" ht="16.8">
      <c r="A96" s="67">
        <v>103</v>
      </c>
      <c r="B96" s="79">
        <v>46099.656944444447</v>
      </c>
      <c r="C96" s="125" t="s">
        <v>527</v>
      </c>
      <c r="D96" t="s">
        <v>13</v>
      </c>
      <c r="E96" t="s">
        <v>375</v>
      </c>
      <c r="F96" s="140">
        <v>5022.66</v>
      </c>
      <c r="G96" s="140">
        <v>5022.66</v>
      </c>
      <c r="H96" s="70">
        <f t="shared" si="4"/>
        <v>884093.52999999968</v>
      </c>
      <c r="I96" s="67">
        <f t="shared" si="5"/>
        <v>884467.82999999973</v>
      </c>
    </row>
    <row r="97" spans="1:11" ht="16.8">
      <c r="A97" s="67">
        <v>104</v>
      </c>
      <c r="B97" s="79">
        <v>46099.656944444447</v>
      </c>
      <c r="C97" s="125" t="s">
        <v>10</v>
      </c>
      <c r="D97" t="s">
        <v>13</v>
      </c>
      <c r="E97" t="s">
        <v>375</v>
      </c>
      <c r="F97" s="104">
        <v>-1</v>
      </c>
      <c r="G97" s="104">
        <v>0</v>
      </c>
      <c r="H97" s="70">
        <f t="shared" si="4"/>
        <v>884092.52999999968</v>
      </c>
      <c r="I97" s="67">
        <f t="shared" si="5"/>
        <v>884467.82999999973</v>
      </c>
    </row>
    <row r="98" spans="1:11" ht="16.8">
      <c r="A98" s="67">
        <v>105</v>
      </c>
      <c r="B98" s="79">
        <v>46099.656944444447</v>
      </c>
      <c r="C98" s="125" t="s">
        <v>527</v>
      </c>
      <c r="D98" t="s">
        <v>13</v>
      </c>
      <c r="E98" t="s">
        <v>375</v>
      </c>
      <c r="F98" s="140">
        <v>4454.3500000000004</v>
      </c>
      <c r="G98" s="140">
        <v>4454.3500000000004</v>
      </c>
      <c r="H98" s="70">
        <f t="shared" si="4"/>
        <v>888546.87999999966</v>
      </c>
      <c r="I98" s="67">
        <f t="shared" si="5"/>
        <v>888922.1799999997</v>
      </c>
    </row>
    <row r="99" spans="1:11">
      <c r="A99" s="67">
        <v>106</v>
      </c>
      <c r="B99" s="79">
        <v>46099.656944444447</v>
      </c>
      <c r="C99" s="131" t="s">
        <v>419</v>
      </c>
      <c r="D99" t="s">
        <v>378</v>
      </c>
      <c r="E99" t="s">
        <v>375</v>
      </c>
      <c r="F99" s="104">
        <v>-158.4</v>
      </c>
      <c r="G99" s="104">
        <v>-158.4</v>
      </c>
      <c r="H99" s="70">
        <f t="shared" si="4"/>
        <v>888388.47999999963</v>
      </c>
      <c r="I99" s="67">
        <f t="shared" si="5"/>
        <v>888763.77999999968</v>
      </c>
    </row>
    <row r="100" spans="1:11">
      <c r="A100" s="67">
        <v>107</v>
      </c>
      <c r="B100" s="79">
        <v>46099.656944444447</v>
      </c>
      <c r="C100" s="131" t="s">
        <v>423</v>
      </c>
      <c r="D100" t="s">
        <v>378</v>
      </c>
      <c r="E100" t="s">
        <v>375</v>
      </c>
      <c r="F100" s="104">
        <v>-182.16</v>
      </c>
      <c r="G100" s="104">
        <v>-182.16</v>
      </c>
      <c r="H100" s="70">
        <f t="shared" ref="H100:H113" si="6">H99+F100</f>
        <v>888206.3199999996</v>
      </c>
      <c r="I100" s="67">
        <f t="shared" ref="I100:I113" si="7">I99+G100</f>
        <v>888581.61999999965</v>
      </c>
    </row>
    <row r="101" spans="1:11">
      <c r="A101" s="67">
        <v>108</v>
      </c>
      <c r="B101" s="79">
        <v>46099.656944444447</v>
      </c>
      <c r="C101" s="131" t="s">
        <v>421</v>
      </c>
      <c r="D101" t="s">
        <v>378</v>
      </c>
      <c r="E101" t="s">
        <v>375</v>
      </c>
      <c r="F101" s="104">
        <v>-348.3</v>
      </c>
      <c r="G101" s="104">
        <v>-348.3</v>
      </c>
      <c r="H101" s="70">
        <f t="shared" si="6"/>
        <v>887858.01999999955</v>
      </c>
      <c r="I101" s="67">
        <f t="shared" si="7"/>
        <v>888233.3199999996</v>
      </c>
    </row>
    <row r="102" spans="1:11">
      <c r="A102" s="67">
        <v>109</v>
      </c>
      <c r="B102" s="79">
        <v>46099.656944444447</v>
      </c>
      <c r="C102" s="131" t="s">
        <v>394</v>
      </c>
      <c r="D102" t="s">
        <v>378</v>
      </c>
      <c r="E102" t="s">
        <v>375</v>
      </c>
      <c r="F102" s="104">
        <f>-40.56 - 33.3</f>
        <v>-73.86</v>
      </c>
      <c r="G102" s="104">
        <f>-40.56 - 33.3</f>
        <v>-73.86</v>
      </c>
      <c r="H102" s="70">
        <f t="shared" si="6"/>
        <v>887784.15999999957</v>
      </c>
      <c r="I102" s="67">
        <f t="shared" si="7"/>
        <v>888159.45999999961</v>
      </c>
    </row>
    <row r="103" spans="1:11">
      <c r="A103" s="67">
        <v>110</v>
      </c>
      <c r="B103" s="79">
        <v>46099.656944444447</v>
      </c>
      <c r="C103" s="131" t="s">
        <v>425</v>
      </c>
      <c r="D103" t="s">
        <v>378</v>
      </c>
      <c r="E103" t="s">
        <v>375</v>
      </c>
      <c r="F103" s="104">
        <v>-107.4</v>
      </c>
      <c r="G103" s="104">
        <v>-107.4</v>
      </c>
      <c r="H103" s="70">
        <f t="shared" si="6"/>
        <v>887676.75999999954</v>
      </c>
      <c r="I103" s="67">
        <f t="shared" si="7"/>
        <v>888052.05999999959</v>
      </c>
    </row>
    <row r="104" spans="1:11" ht="16.8">
      <c r="A104" s="67">
        <v>111</v>
      </c>
      <c r="B104" s="79">
        <v>46100.3</v>
      </c>
      <c r="C104" s="125" t="s">
        <v>525</v>
      </c>
      <c r="D104" t="s">
        <v>25</v>
      </c>
      <c r="E104" t="s">
        <v>375</v>
      </c>
      <c r="F104" s="104">
        <v>758.48</v>
      </c>
      <c r="G104" s="104">
        <v>758.48</v>
      </c>
      <c r="H104" s="70">
        <f t="shared" si="6"/>
        <v>888435.23999999953</v>
      </c>
      <c r="I104" s="67">
        <f t="shared" si="7"/>
        <v>888810.53999999957</v>
      </c>
    </row>
    <row r="105" spans="1:11" ht="16.8">
      <c r="A105" s="67">
        <v>112</v>
      </c>
      <c r="B105" s="79">
        <v>46100.3</v>
      </c>
      <c r="C105" s="125" t="s">
        <v>525</v>
      </c>
      <c r="D105" t="s">
        <v>25</v>
      </c>
      <c r="E105" t="s">
        <v>375</v>
      </c>
      <c r="F105" s="104">
        <v>-41.85</v>
      </c>
      <c r="G105" s="104">
        <v>-41.85</v>
      </c>
      <c r="H105" s="70">
        <f t="shared" si="6"/>
        <v>888393.38999999955</v>
      </c>
      <c r="I105" s="67">
        <f t="shared" si="7"/>
        <v>888768.68999999959</v>
      </c>
    </row>
    <row r="106" spans="1:11" ht="16.8">
      <c r="A106" s="67">
        <v>113</v>
      </c>
      <c r="B106" s="79">
        <v>46100.625</v>
      </c>
      <c r="C106" s="125" t="s">
        <v>10</v>
      </c>
      <c r="D106" t="s">
        <v>347</v>
      </c>
      <c r="E106" t="s">
        <v>375</v>
      </c>
      <c r="F106" s="104">
        <f>1361.85+1870.13+899.18</f>
        <v>4131.16</v>
      </c>
      <c r="G106" s="104">
        <f>1361.85+1870.13+899.18</f>
        <v>4131.16</v>
      </c>
      <c r="H106" s="70">
        <f t="shared" si="6"/>
        <v>892524.54999999958</v>
      </c>
      <c r="I106" s="67">
        <f t="shared" si="7"/>
        <v>892899.84999999963</v>
      </c>
    </row>
    <row r="107" spans="1:11" ht="16.8">
      <c r="A107" s="67">
        <v>114</v>
      </c>
      <c r="B107" s="79">
        <v>46100.625</v>
      </c>
      <c r="C107" s="125" t="s">
        <v>10</v>
      </c>
      <c r="D107" t="s">
        <v>347</v>
      </c>
      <c r="E107" t="s">
        <v>375</v>
      </c>
      <c r="F107" s="104">
        <v>-1</v>
      </c>
      <c r="G107" s="104">
        <v>0</v>
      </c>
      <c r="H107" s="70">
        <f t="shared" si="6"/>
        <v>892523.54999999958</v>
      </c>
      <c r="I107" s="67">
        <f t="shared" si="7"/>
        <v>892899.84999999963</v>
      </c>
    </row>
    <row r="108" spans="1:11">
      <c r="A108" s="67">
        <v>115</v>
      </c>
      <c r="B108" s="79">
        <v>46104.665277777778</v>
      </c>
      <c r="C108" s="131" t="s">
        <v>428</v>
      </c>
      <c r="D108" t="s">
        <v>378</v>
      </c>
      <c r="E108" t="s">
        <v>375</v>
      </c>
      <c r="F108" s="104">
        <f>-100.9 - 34.08</f>
        <v>-134.98000000000002</v>
      </c>
      <c r="G108" s="104">
        <f>-100.9 - 34.08</f>
        <v>-134.98000000000002</v>
      </c>
      <c r="H108" s="70">
        <f t="shared" si="6"/>
        <v>892388.5699999996</v>
      </c>
      <c r="I108" s="67">
        <f t="shared" si="7"/>
        <v>892764.86999999965</v>
      </c>
    </row>
    <row r="109" spans="1:11" ht="16.8">
      <c r="A109" s="67">
        <v>116</v>
      </c>
      <c r="B109" s="79">
        <v>46107.665277777778</v>
      </c>
      <c r="C109" s="125" t="s">
        <v>528</v>
      </c>
      <c r="D109" t="s">
        <v>361</v>
      </c>
      <c r="E109" t="s">
        <v>375</v>
      </c>
      <c r="F109" s="103">
        <v>30087.7</v>
      </c>
      <c r="G109" s="103">
        <v>30087.7</v>
      </c>
      <c r="H109" s="70">
        <f t="shared" si="6"/>
        <v>922476.26999999955</v>
      </c>
      <c r="I109" s="67">
        <f t="shared" si="7"/>
        <v>922852.5699999996</v>
      </c>
      <c r="K109" s="54"/>
    </row>
    <row r="110" spans="1:11" ht="16.8">
      <c r="A110" s="67">
        <v>117</v>
      </c>
      <c r="B110" s="79">
        <v>46107.665277777778</v>
      </c>
      <c r="C110" s="125" t="s">
        <v>510</v>
      </c>
      <c r="D110" t="s">
        <v>77</v>
      </c>
      <c r="E110" t="s">
        <v>375</v>
      </c>
      <c r="F110" s="104">
        <v>-1</v>
      </c>
      <c r="G110" s="104">
        <v>0</v>
      </c>
      <c r="H110" s="70">
        <f t="shared" si="6"/>
        <v>922475.26999999955</v>
      </c>
      <c r="I110" s="67">
        <f t="shared" si="7"/>
        <v>922852.5699999996</v>
      </c>
    </row>
    <row r="111" spans="1:11" ht="16.8">
      <c r="A111" s="67">
        <v>118</v>
      </c>
      <c r="B111" s="79">
        <v>46107.665277777778</v>
      </c>
      <c r="C111" s="125" t="s">
        <v>510</v>
      </c>
      <c r="D111" t="s">
        <v>77</v>
      </c>
      <c r="E111" t="s">
        <v>375</v>
      </c>
      <c r="F111" s="104">
        <v>-1</v>
      </c>
      <c r="G111" s="104">
        <v>0</v>
      </c>
      <c r="H111" s="70">
        <f t="shared" si="6"/>
        <v>922474.26999999955</v>
      </c>
      <c r="I111" s="67">
        <f t="shared" si="7"/>
        <v>922852.5699999996</v>
      </c>
    </row>
    <row r="112" spans="1:11" ht="16.8">
      <c r="A112" s="67">
        <v>119</v>
      </c>
      <c r="B112" s="79">
        <v>46107.666666666664</v>
      </c>
      <c r="C112" s="125" t="s">
        <v>521</v>
      </c>
      <c r="D112" t="s">
        <v>361</v>
      </c>
      <c r="E112" t="s">
        <v>375</v>
      </c>
      <c r="F112" s="104">
        <f>-10058.38+21864.4</f>
        <v>11806.020000000002</v>
      </c>
      <c r="G112" s="104">
        <f>-10058.38+21864.4</f>
        <v>11806.020000000002</v>
      </c>
      <c r="H112" s="70">
        <f t="shared" si="6"/>
        <v>934280.28999999957</v>
      </c>
      <c r="I112" s="67">
        <f t="shared" si="7"/>
        <v>934658.58999999962</v>
      </c>
    </row>
    <row r="113" spans="1:10">
      <c r="A113" s="67">
        <v>120</v>
      </c>
      <c r="B113" s="79">
        <v>46107.656944444447</v>
      </c>
      <c r="C113" s="134" t="s">
        <v>512</v>
      </c>
      <c r="D113" t="s">
        <v>77</v>
      </c>
      <c r="E113" t="s">
        <v>375</v>
      </c>
      <c r="F113" s="104">
        <f>452.91-10000.9</f>
        <v>-9547.99</v>
      </c>
      <c r="G113" s="104">
        <f>452.91-10000.9</f>
        <v>-9547.99</v>
      </c>
      <c r="H113" s="70">
        <f t="shared" si="6"/>
        <v>924732.29999999958</v>
      </c>
      <c r="I113" s="67">
        <f t="shared" si="7"/>
        <v>925110.59999999963</v>
      </c>
    </row>
    <row r="114" spans="1:10" ht="16.8">
      <c r="A114" s="67">
        <v>121</v>
      </c>
      <c r="B114" s="97">
        <v>46108</v>
      </c>
      <c r="C114" s="125" t="s">
        <v>544</v>
      </c>
      <c r="D114" t="s">
        <v>69</v>
      </c>
      <c r="E114" t="s">
        <v>375</v>
      </c>
      <c r="F114" s="104">
        <v>-200.4</v>
      </c>
      <c r="G114" s="104">
        <v>-200.4</v>
      </c>
      <c r="H114" s="67">
        <f t="shared" ref="H114:I115" si="8">H113+F114</f>
        <v>924531.89999999956</v>
      </c>
      <c r="I114" s="67">
        <f t="shared" si="8"/>
        <v>924910.1999999996</v>
      </c>
    </row>
    <row r="115" spans="1:10" ht="16.8">
      <c r="A115" s="67">
        <v>122</v>
      </c>
      <c r="B115" s="97">
        <v>46108</v>
      </c>
      <c r="C115" s="125" t="s">
        <v>545</v>
      </c>
      <c r="D115" t="s">
        <v>69</v>
      </c>
      <c r="E115" t="s">
        <v>375</v>
      </c>
      <c r="F115" s="104">
        <v>169.64</v>
      </c>
      <c r="G115" s="104">
        <v>169.64</v>
      </c>
      <c r="H115" s="67">
        <f t="shared" si="8"/>
        <v>924701.53999999957</v>
      </c>
      <c r="I115" s="67">
        <f t="shared" si="8"/>
        <v>925079.83999999962</v>
      </c>
    </row>
    <row r="116" spans="1:10" ht="16.8">
      <c r="A116" s="67">
        <v>123</v>
      </c>
      <c r="B116" s="97">
        <v>46108</v>
      </c>
      <c r="C116" s="125" t="s">
        <v>997</v>
      </c>
      <c r="D116" t="s">
        <v>69</v>
      </c>
      <c r="E116" t="s">
        <v>315</v>
      </c>
      <c r="F116" s="141">
        <f>H115-H116</f>
        <v>17.459999999613501</v>
      </c>
      <c r="G116" s="141">
        <f>I115-I116</f>
        <v>395.75999999966007</v>
      </c>
      <c r="H116">
        <v>924684.08</v>
      </c>
      <c r="I116">
        <v>924684.08</v>
      </c>
    </row>
    <row r="117" spans="1:10" ht="16.8">
      <c r="B117" s="107">
        <v>46063.011805555558</v>
      </c>
      <c r="C117" s="131" t="s">
        <v>404</v>
      </c>
      <c r="D117" t="s">
        <v>376</v>
      </c>
      <c r="F117" s="126">
        <v>522.84</v>
      </c>
      <c r="G117" s="126">
        <v>522.84</v>
      </c>
      <c r="H117">
        <f>H115+F117</f>
        <v>925224.37999999954</v>
      </c>
      <c r="I117">
        <f>I115+G117</f>
        <v>925602.67999999959</v>
      </c>
      <c r="J117" t="s">
        <v>546</v>
      </c>
    </row>
    <row r="118" spans="1:10" ht="16.8">
      <c r="B118" s="108">
        <v>46069.01458333333</v>
      </c>
      <c r="C118" s="131" t="s">
        <v>394</v>
      </c>
      <c r="D118" t="s">
        <v>376</v>
      </c>
      <c r="F118" s="126">
        <v>137.5</v>
      </c>
      <c r="G118" s="126">
        <v>137.5</v>
      </c>
      <c r="H118">
        <f t="shared" ref="H118:H130" si="9">H117+F118</f>
        <v>925361.87999999954</v>
      </c>
      <c r="I118">
        <f t="shared" ref="I118:I130" si="10">I117+G118</f>
        <v>925740.17999999959</v>
      </c>
      <c r="J118" t="s">
        <v>547</v>
      </c>
    </row>
    <row r="119" spans="1:10">
      <c r="B119" s="107">
        <v>46083.011111111111</v>
      </c>
      <c r="C119" s="132" t="s">
        <v>412</v>
      </c>
      <c r="D119" t="s">
        <v>376</v>
      </c>
      <c r="F119" s="2">
        <v>290.83999999999997</v>
      </c>
      <c r="G119" s="2">
        <v>290.83999999999997</v>
      </c>
      <c r="H119">
        <f t="shared" si="9"/>
        <v>925652.71999999951</v>
      </c>
      <c r="I119">
        <f t="shared" si="10"/>
        <v>926031.01999999955</v>
      </c>
      <c r="J119" t="s">
        <v>548</v>
      </c>
    </row>
    <row r="120" spans="1:10">
      <c r="B120" s="107">
        <v>46083.011805555558</v>
      </c>
      <c r="C120" s="131" t="s">
        <v>396</v>
      </c>
      <c r="D120" t="s">
        <v>376</v>
      </c>
      <c r="F120" s="2">
        <v>232.5</v>
      </c>
      <c r="G120" s="2">
        <v>232.5</v>
      </c>
      <c r="H120">
        <f t="shared" si="9"/>
        <v>925885.21999999951</v>
      </c>
      <c r="I120">
        <f t="shared" si="10"/>
        <v>926263.51999999955</v>
      </c>
      <c r="J120" t="s">
        <v>549</v>
      </c>
    </row>
    <row r="121" spans="1:10" ht="16.8">
      <c r="B121" s="97">
        <v>46085.25</v>
      </c>
      <c r="C121" s="134" t="s">
        <v>502</v>
      </c>
      <c r="D121" t="s">
        <v>69</v>
      </c>
      <c r="F121" s="2">
        <v>4.34</v>
      </c>
      <c r="G121" s="2">
        <v>4.34</v>
      </c>
      <c r="H121">
        <f t="shared" si="9"/>
        <v>925889.55999999947</v>
      </c>
      <c r="I121">
        <f t="shared" si="10"/>
        <v>926267.85999999952</v>
      </c>
      <c r="J121" s="85" t="s">
        <v>503</v>
      </c>
    </row>
    <row r="122" spans="1:10" ht="16.8">
      <c r="B122" s="97">
        <v>46085.25</v>
      </c>
      <c r="C122" s="134" t="s">
        <v>502</v>
      </c>
      <c r="D122" t="s">
        <v>69</v>
      </c>
      <c r="F122" s="2">
        <v>25.54</v>
      </c>
      <c r="G122" s="2">
        <v>25.54</v>
      </c>
      <c r="H122">
        <f t="shared" si="9"/>
        <v>925915.09999999951</v>
      </c>
      <c r="I122">
        <f t="shared" si="10"/>
        <v>926293.39999999956</v>
      </c>
      <c r="J122" s="85" t="s">
        <v>504</v>
      </c>
    </row>
    <row r="123" spans="1:10" ht="16.8">
      <c r="B123" s="97">
        <v>46085.25</v>
      </c>
      <c r="C123" s="134" t="s">
        <v>502</v>
      </c>
      <c r="D123" t="s">
        <v>69</v>
      </c>
      <c r="F123" s="2">
        <v>12.31</v>
      </c>
      <c r="G123" s="2">
        <v>12.31</v>
      </c>
      <c r="H123">
        <f t="shared" si="9"/>
        <v>925927.40999999957</v>
      </c>
      <c r="I123">
        <f t="shared" si="10"/>
        <v>926305.70999999961</v>
      </c>
      <c r="J123" s="85" t="s">
        <v>505</v>
      </c>
    </row>
    <row r="124" spans="1:10" ht="16.8">
      <c r="B124" s="97">
        <v>46085.25</v>
      </c>
      <c r="C124" s="134" t="s">
        <v>502</v>
      </c>
      <c r="D124" t="s">
        <v>69</v>
      </c>
      <c r="F124" s="2">
        <v>44.36</v>
      </c>
      <c r="G124" s="2">
        <v>44.36</v>
      </c>
      <c r="H124">
        <f t="shared" si="9"/>
        <v>925971.76999999955</v>
      </c>
      <c r="I124">
        <f t="shared" si="10"/>
        <v>926350.0699999996</v>
      </c>
      <c r="J124" s="85" t="s">
        <v>484</v>
      </c>
    </row>
    <row r="125" spans="1:10" ht="16.8">
      <c r="B125" s="79">
        <v>46087.25</v>
      </c>
      <c r="C125" s="134" t="s">
        <v>502</v>
      </c>
      <c r="D125" t="s">
        <v>69</v>
      </c>
      <c r="F125" s="2">
        <v>280.85000000000002</v>
      </c>
      <c r="G125" s="2">
        <v>280.85000000000002</v>
      </c>
      <c r="H125">
        <f t="shared" si="9"/>
        <v>926252.61999999953</v>
      </c>
      <c r="I125">
        <f t="shared" si="10"/>
        <v>926630.91999999958</v>
      </c>
      <c r="J125" s="85" t="s">
        <v>451</v>
      </c>
    </row>
    <row r="126" spans="1:10">
      <c r="B126" s="79">
        <v>46087.25</v>
      </c>
      <c r="C126" s="134" t="s">
        <v>502</v>
      </c>
      <c r="D126" t="s">
        <v>69</v>
      </c>
      <c r="F126" s="2">
        <v>35.79</v>
      </c>
      <c r="G126" s="2">
        <v>35.79</v>
      </c>
      <c r="H126">
        <f t="shared" si="9"/>
        <v>926288.40999999957</v>
      </c>
      <c r="I126">
        <f t="shared" si="10"/>
        <v>926666.70999999961</v>
      </c>
      <c r="J126" s="104" t="s">
        <v>494</v>
      </c>
    </row>
    <row r="127" spans="1:10" ht="16.8">
      <c r="B127" s="79">
        <v>46090.208333333336</v>
      </c>
      <c r="C127" s="134" t="s">
        <v>502</v>
      </c>
      <c r="D127" t="s">
        <v>69</v>
      </c>
      <c r="F127" s="2">
        <v>3.1</v>
      </c>
      <c r="G127" s="2">
        <v>3.1</v>
      </c>
      <c r="H127">
        <f t="shared" si="9"/>
        <v>926291.50999999954</v>
      </c>
      <c r="I127">
        <f t="shared" si="10"/>
        <v>926669.80999999959</v>
      </c>
      <c r="J127" s="85" t="s">
        <v>473</v>
      </c>
    </row>
    <row r="128" spans="1:10" ht="16.8">
      <c r="B128" s="79">
        <v>46094.208333333336</v>
      </c>
      <c r="C128" s="134" t="s">
        <v>502</v>
      </c>
      <c r="D128" t="s">
        <v>69</v>
      </c>
      <c r="F128" s="2">
        <v>82.33</v>
      </c>
      <c r="G128" s="2">
        <v>82.33</v>
      </c>
      <c r="H128">
        <f t="shared" si="9"/>
        <v>926373.8399999995</v>
      </c>
      <c r="I128">
        <f t="shared" si="10"/>
        <v>926752.13999999955</v>
      </c>
      <c r="J128" s="85" t="s">
        <v>452</v>
      </c>
    </row>
    <row r="129" spans="2:25">
      <c r="B129" s="79">
        <v>46097.208333333336</v>
      </c>
      <c r="C129" s="134" t="s">
        <v>502</v>
      </c>
      <c r="D129" t="s">
        <v>69</v>
      </c>
      <c r="F129" s="2">
        <v>1.01</v>
      </c>
      <c r="G129" s="2">
        <v>1.01</v>
      </c>
      <c r="H129">
        <f t="shared" si="9"/>
        <v>926374.84999999951</v>
      </c>
      <c r="I129">
        <f t="shared" si="10"/>
        <v>926753.14999999956</v>
      </c>
      <c r="J129" s="104" t="s">
        <v>490</v>
      </c>
    </row>
    <row r="130" spans="2:25" ht="16.8">
      <c r="B130" s="79">
        <v>46104.208333333336</v>
      </c>
      <c r="C130" s="134" t="s">
        <v>502</v>
      </c>
      <c r="D130" t="s">
        <v>13</v>
      </c>
      <c r="F130" s="2">
        <v>-253.83</v>
      </c>
      <c r="G130" s="2">
        <v>-253.83</v>
      </c>
      <c r="H130">
        <f t="shared" si="9"/>
        <v>926121.01999999955</v>
      </c>
      <c r="I130">
        <f t="shared" si="10"/>
        <v>926499.3199999996</v>
      </c>
      <c r="J130" s="85" t="s">
        <v>527</v>
      </c>
    </row>
    <row r="131" spans="2:25" ht="16.8">
      <c r="C131" s="125"/>
    </row>
    <row r="132" spans="2:25" ht="16.8">
      <c r="C132" s="125"/>
    </row>
    <row r="133" spans="2:25" ht="16.8">
      <c r="C133" s="125"/>
    </row>
    <row r="134" spans="2:25" ht="16.8">
      <c r="C134" s="125"/>
    </row>
    <row r="135" spans="2:25">
      <c r="C135" s="131"/>
    </row>
    <row r="136" spans="2:25" ht="16.8">
      <c r="B136"/>
      <c r="G136" s="95"/>
      <c r="K136" s="55"/>
      <c r="L136" s="106"/>
      <c r="Q136" s="55"/>
      <c r="R136" s="61"/>
      <c r="T136" s="5"/>
    </row>
    <row r="137" spans="2:25" ht="16.8">
      <c r="B137"/>
      <c r="G137" s="95"/>
      <c r="K137" s="55"/>
      <c r="L137" s="106"/>
      <c r="R137" s="61"/>
      <c r="T137" s="5"/>
      <c r="U137" s="5"/>
      <c r="Y137" s="13"/>
    </row>
    <row r="138" spans="2:25">
      <c r="B138"/>
      <c r="G138" s="95"/>
      <c r="R138" s="61"/>
      <c r="T138" s="5"/>
    </row>
    <row r="139" spans="2:25">
      <c r="B139"/>
      <c r="G139" s="95"/>
      <c r="R139" s="61"/>
      <c r="T139" s="5"/>
    </row>
    <row r="140" spans="2:25" ht="16.8">
      <c r="B140"/>
      <c r="G140" s="126"/>
      <c r="Q140" s="55"/>
      <c r="R140" s="61"/>
      <c r="T140" s="5"/>
    </row>
    <row r="141" spans="2:25" ht="16.8">
      <c r="B141"/>
      <c r="G141" s="126"/>
      <c r="Q141" s="55"/>
      <c r="R141" s="61"/>
      <c r="T141" s="5"/>
    </row>
    <row r="142" spans="2:25" ht="16.8">
      <c r="B142"/>
      <c r="G142" s="126"/>
      <c r="Q142" s="55"/>
      <c r="R142" s="61"/>
      <c r="T142" s="5"/>
    </row>
    <row r="143" spans="2:25" ht="16.8">
      <c r="B143"/>
      <c r="G143" s="126"/>
      <c r="Q143" s="55"/>
      <c r="R143" s="61"/>
      <c r="T143" s="5"/>
    </row>
    <row r="144" spans="2:25" ht="16.8">
      <c r="B144"/>
      <c r="G144" s="126"/>
      <c r="Q144" s="55"/>
      <c r="R144" s="61"/>
      <c r="T144" s="5"/>
    </row>
    <row r="145" spans="2:20" ht="16.8">
      <c r="B145"/>
      <c r="G145" s="2"/>
      <c r="Q145" s="55"/>
      <c r="R145" s="61"/>
      <c r="T145" s="5"/>
    </row>
    <row r="146" spans="2:20" ht="16.8">
      <c r="B146"/>
      <c r="G146" s="126"/>
      <c r="Q146" s="55"/>
      <c r="R146" s="61"/>
      <c r="T146" s="5"/>
    </row>
    <row r="147" spans="2:20" ht="16.8">
      <c r="B147"/>
      <c r="G147" s="126"/>
      <c r="Q147" s="55"/>
      <c r="R147" s="61"/>
      <c r="T147" s="5"/>
    </row>
    <row r="148" spans="2:20" ht="16.8">
      <c r="B148"/>
      <c r="G148" s="2"/>
      <c r="Q148" s="55"/>
      <c r="R148" s="61"/>
      <c r="T148" s="5"/>
    </row>
    <row r="149" spans="2:20" ht="16.8">
      <c r="B149"/>
      <c r="G149" s="126"/>
      <c r="K149" s="55"/>
      <c r="Q149" s="55"/>
      <c r="R149" s="61"/>
      <c r="T149" s="5"/>
    </row>
  </sheetData>
  <autoFilter ref="A1:Y149" xr:uid="{67129DB2-9E77-4189-801C-E9C76EBEE67C}"/>
  <conditionalFormatting sqref="D117:D130 F117:F135 G117:G1048576 F150:F1048576">
    <cfRule type="cellIs" dxfId="6" priority="12" operator="greaterThan">
      <formula>0</formula>
    </cfRule>
  </conditionalFormatting>
  <conditionalFormatting sqref="F1:G95">
    <cfRule type="cellIs" dxfId="5" priority="2" operator="lessThan">
      <formula>0</formula>
    </cfRule>
    <cfRule type="cellIs" dxfId="4" priority="3" operator="greaterThan">
      <formula>0</formula>
    </cfRule>
  </conditionalFormatting>
  <conditionalFormatting sqref="F97:G97">
    <cfRule type="cellIs" dxfId="3" priority="6" operator="lessThan">
      <formula>0</formula>
    </cfRule>
    <cfRule type="cellIs" dxfId="2" priority="7" operator="greaterThan">
      <formula>0</formula>
    </cfRule>
  </conditionalFormatting>
  <conditionalFormatting sqref="F99:G115 D117:D130 F117:F135 G117:G1048576 F150:F1048576">
    <cfRule type="cellIs" dxfId="1" priority="11" operator="lessThan">
      <formula>0</formula>
    </cfRule>
  </conditionalFormatting>
  <conditionalFormatting sqref="F99:G116">
    <cfRule type="cellIs" dxfId="0" priority="1" operator="greaterThan">
      <formula>0</formula>
    </cfRule>
  </conditionalFormatting>
  <dataValidations count="8">
    <dataValidation allowBlank="1" showInputMessage="1" showErrorMessage="1" sqref="B9" xr:uid="{E5D47521-57F4-4AA6-99AB-DB1B9C9BA79B}"/>
    <dataValidation type="list" allowBlank="1" showInputMessage="1" showErrorMessage="1" sqref="D2:D4 D12:D15 D21:D113 H136:H145 H149" xr:uid="{534A2FC3-AB04-4C81-B34D-BCC08A4DA86D}">
      <formula1>"Commodity,FX,Crypto,Equity,Bond,Future contracts,Call,Put,ETF,Turbo,Warrant,Certificates"</formula1>
    </dataValidation>
    <dataValidation type="list" allowBlank="1" showInputMessage="1" showErrorMessage="1" sqref="E12:E15 E45:E112 E2 E5 B136:B145 B149" xr:uid="{641EBDC9-6619-494E-B0C6-4585EE456A65}">
      <formula1>"Yannis Khalfi,Jade Sancho,Wanchun Cui, Wang Jialei"</formula1>
    </dataValidation>
    <dataValidation type="list" allowBlank="1" showInputMessage="1" showErrorMessage="1" sqref="C130 C121:C126" xr:uid="{F6420108-CC98-4590-BBA0-A6A0AAABDBF0}">
      <formula1>"Market, Limit, CouponPayment, Dividends"</formula1>
    </dataValidation>
    <dataValidation type="list" allowBlank="1" showInputMessage="1" showErrorMessage="1" sqref="E136:E145 E149" xr:uid="{0B0005BB-1207-4196-9401-CF20DFD2E8A0}">
      <formula1>"London,NY,Asia"</formula1>
    </dataValidation>
    <dataValidation type="list" allowBlank="1" showInputMessage="1" showErrorMessage="1" sqref="I136:I145 I149" xr:uid="{553B134C-AC61-4473-9746-5706CA6E975F}">
      <formula1>"Long, Short"</formula1>
    </dataValidation>
    <dataValidation type="list" allowBlank="1" showInputMessage="1" showErrorMessage="1" sqref="J136:J145 J149" xr:uid="{627FF0FA-ED31-45A3-A02E-077900217490}">
      <formula1>"Buy, Sell"</formula1>
    </dataValidation>
    <dataValidation type="list" allowBlank="1" showInputMessage="1" showErrorMessage="1" sqref="AJ136:AJ149" xr:uid="{153EC002-FDFB-4F66-87FF-7A054BFB5199}">
      <formula1>"5m,15m,30m,h1,h2,h3,h4,h8,h12,D,2D,5D,W,M"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D8B0-F7B8-4452-A38E-0C3CA7293D84}">
  <dimension ref="A1:Q205"/>
  <sheetViews>
    <sheetView workbookViewId="0">
      <selection activeCell="J14" sqref="J14"/>
    </sheetView>
  </sheetViews>
  <sheetFormatPr baseColWidth="10" defaultColWidth="8.88671875" defaultRowHeight="14.4"/>
  <cols>
    <col min="1" max="1" width="19" customWidth="1"/>
    <col min="2" max="2" width="10.5546875" bestFit="1" customWidth="1"/>
    <col min="3" max="3" width="11.44140625" bestFit="1" customWidth="1"/>
    <col min="4" max="4" width="10.88671875" bestFit="1" customWidth="1"/>
    <col min="5" max="5" width="11.44140625" bestFit="1" customWidth="1"/>
    <col min="6" max="6" width="11.33203125" bestFit="1" customWidth="1"/>
    <col min="8" max="8" width="11.44140625" bestFit="1" customWidth="1"/>
    <col min="9" max="10" width="22" customWidth="1"/>
    <col min="11" max="11" width="12.33203125" customWidth="1"/>
    <col min="12" max="12" width="9.44140625" customWidth="1"/>
    <col min="13" max="17" width="22" customWidth="1"/>
    <col min="21" max="22" width="36.5546875" bestFit="1" customWidth="1"/>
  </cols>
  <sheetData>
    <row r="1" spans="1:17">
      <c r="A1" s="18" t="s">
        <v>550</v>
      </c>
      <c r="B1" s="18" t="s">
        <v>551</v>
      </c>
      <c r="C1" s="18" t="s">
        <v>552</v>
      </c>
      <c r="D1" s="18" t="s">
        <v>553</v>
      </c>
      <c r="E1" s="18" t="s">
        <v>554</v>
      </c>
      <c r="F1" s="18" t="s">
        <v>555</v>
      </c>
      <c r="G1" s="18" t="s">
        <v>556</v>
      </c>
      <c r="H1" s="18" t="s">
        <v>557</v>
      </c>
      <c r="I1" s="18" t="s">
        <v>558</v>
      </c>
      <c r="J1" s="18"/>
      <c r="K1" s="30" t="s">
        <v>550</v>
      </c>
      <c r="L1" t="s">
        <v>559</v>
      </c>
      <c r="M1" s="18"/>
      <c r="N1" s="18"/>
      <c r="O1" s="18"/>
      <c r="P1" s="18"/>
      <c r="Q1" s="18"/>
    </row>
    <row r="2" spans="1:17" ht="28.8">
      <c r="A2" s="19" t="s">
        <v>560</v>
      </c>
      <c r="B2" s="19" t="s">
        <v>561</v>
      </c>
      <c r="C2" s="19" t="s">
        <v>562</v>
      </c>
      <c r="D2" s="19" t="s">
        <v>563</v>
      </c>
      <c r="E2" s="19">
        <v>6.65</v>
      </c>
      <c r="F2" s="20">
        <v>13820</v>
      </c>
      <c r="G2" s="19" t="s">
        <v>14</v>
      </c>
      <c r="H2" s="19" t="s">
        <v>564</v>
      </c>
      <c r="I2" s="19" t="s">
        <v>565</v>
      </c>
      <c r="J2" s="19"/>
      <c r="K2" s="30" t="s">
        <v>552</v>
      </c>
      <c r="L2" t="s">
        <v>559</v>
      </c>
      <c r="M2" s="33" t="s">
        <v>566</v>
      </c>
      <c r="N2" s="19"/>
      <c r="O2" s="19"/>
      <c r="P2" s="19"/>
      <c r="Q2" s="19"/>
    </row>
    <row r="3" spans="1:17" ht="28.8">
      <c r="A3" s="19" t="s">
        <v>560</v>
      </c>
      <c r="B3" s="19" t="s">
        <v>561</v>
      </c>
      <c r="C3" s="19" t="s">
        <v>562</v>
      </c>
      <c r="D3" s="19" t="s">
        <v>563</v>
      </c>
      <c r="E3" s="19">
        <v>6.4</v>
      </c>
      <c r="F3" s="20">
        <v>13119</v>
      </c>
      <c r="G3" s="19" t="s">
        <v>14</v>
      </c>
      <c r="H3" s="19" t="s">
        <v>564</v>
      </c>
      <c r="I3" s="19" t="s">
        <v>565</v>
      </c>
      <c r="J3" s="19"/>
      <c r="N3" s="19"/>
      <c r="O3" s="19"/>
      <c r="P3" s="19"/>
      <c r="Q3" s="19"/>
    </row>
    <row r="4" spans="1:17">
      <c r="A4" s="19" t="s">
        <v>567</v>
      </c>
      <c r="B4" s="19" t="s">
        <v>561</v>
      </c>
      <c r="C4" s="19" t="s">
        <v>562</v>
      </c>
      <c r="D4" s="19" t="s">
        <v>568</v>
      </c>
      <c r="E4" s="19">
        <v>1.3</v>
      </c>
      <c r="F4" s="21">
        <v>46081</v>
      </c>
      <c r="G4" s="19" t="s">
        <v>446</v>
      </c>
      <c r="H4" s="19" t="s">
        <v>569</v>
      </c>
      <c r="I4" s="19" t="s">
        <v>570</v>
      </c>
      <c r="J4" s="19"/>
      <c r="K4" s="30" t="s">
        <v>551</v>
      </c>
      <c r="N4" s="19"/>
      <c r="O4" s="19"/>
      <c r="P4" s="19"/>
      <c r="Q4" s="19"/>
    </row>
    <row r="5" spans="1:17">
      <c r="A5" s="19" t="s">
        <v>567</v>
      </c>
      <c r="B5" s="19" t="s">
        <v>561</v>
      </c>
      <c r="C5" s="19" t="s">
        <v>562</v>
      </c>
      <c r="D5" s="19" t="s">
        <v>568</v>
      </c>
      <c r="E5" s="19">
        <v>2.5</v>
      </c>
      <c r="F5" s="20">
        <v>15008</v>
      </c>
      <c r="G5" s="19" t="s">
        <v>14</v>
      </c>
      <c r="H5" s="19" t="s">
        <v>569</v>
      </c>
      <c r="I5" s="19" t="s">
        <v>570</v>
      </c>
      <c r="J5" s="19"/>
      <c r="K5" t="s">
        <v>571</v>
      </c>
      <c r="N5" s="19"/>
      <c r="O5" s="19"/>
      <c r="P5" s="19"/>
      <c r="Q5" s="19"/>
    </row>
    <row r="6" spans="1:17">
      <c r="A6" s="19" t="s">
        <v>572</v>
      </c>
      <c r="B6" s="19" t="s">
        <v>561</v>
      </c>
      <c r="C6" s="19" t="s">
        <v>562</v>
      </c>
      <c r="D6" s="19" t="s">
        <v>573</v>
      </c>
      <c r="E6" s="19">
        <v>3.25</v>
      </c>
      <c r="F6" s="21">
        <v>46079</v>
      </c>
      <c r="G6" s="19" t="s">
        <v>446</v>
      </c>
      <c r="H6" s="19" t="s">
        <v>574</v>
      </c>
      <c r="I6" s="19" t="s">
        <v>575</v>
      </c>
      <c r="J6" s="19"/>
      <c r="K6" t="s">
        <v>576</v>
      </c>
      <c r="N6" s="19"/>
      <c r="O6" s="19"/>
      <c r="P6" s="19"/>
      <c r="Q6" s="19"/>
    </row>
    <row r="7" spans="1:17">
      <c r="A7" s="19" t="s">
        <v>572</v>
      </c>
      <c r="B7" s="19" t="s">
        <v>561</v>
      </c>
      <c r="C7" s="19" t="s">
        <v>562</v>
      </c>
      <c r="D7" s="19" t="s">
        <v>573</v>
      </c>
      <c r="E7" s="19">
        <v>3.25</v>
      </c>
      <c r="F7" s="21">
        <v>46263</v>
      </c>
      <c r="G7" s="19" t="s">
        <v>574</v>
      </c>
      <c r="H7" s="19" t="s">
        <v>574</v>
      </c>
      <c r="I7" s="19" t="s">
        <v>575</v>
      </c>
      <c r="J7" s="19"/>
      <c r="K7" t="s">
        <v>577</v>
      </c>
      <c r="N7" s="19"/>
      <c r="O7" s="19"/>
      <c r="P7" s="19"/>
      <c r="Q7" s="19"/>
    </row>
    <row r="8" spans="1:17">
      <c r="A8" s="19" t="s">
        <v>572</v>
      </c>
      <c r="B8" s="19" t="s">
        <v>561</v>
      </c>
      <c r="C8" s="19" t="s">
        <v>562</v>
      </c>
      <c r="D8" s="19" t="s">
        <v>573</v>
      </c>
      <c r="E8" s="19">
        <v>1.7</v>
      </c>
      <c r="F8" s="21">
        <v>46265</v>
      </c>
      <c r="G8" s="19" t="s">
        <v>574</v>
      </c>
      <c r="H8" s="19" t="s">
        <v>569</v>
      </c>
      <c r="I8" s="19" t="s">
        <v>575</v>
      </c>
      <c r="J8" s="19"/>
      <c r="K8" t="s">
        <v>578</v>
      </c>
      <c r="N8" s="19"/>
      <c r="O8" s="19"/>
      <c r="P8" s="19"/>
      <c r="Q8" s="19"/>
    </row>
    <row r="9" spans="1:17">
      <c r="A9" s="19" t="s">
        <v>579</v>
      </c>
      <c r="B9" s="19" t="s">
        <v>561</v>
      </c>
      <c r="C9" s="19" t="s">
        <v>562</v>
      </c>
      <c r="D9" s="19" t="s">
        <v>580</v>
      </c>
      <c r="E9" s="19">
        <v>6</v>
      </c>
      <c r="F9" s="20">
        <v>14336</v>
      </c>
      <c r="G9" s="19" t="s">
        <v>14</v>
      </c>
      <c r="H9" s="19" t="s">
        <v>564</v>
      </c>
      <c r="I9" s="19" t="s">
        <v>580</v>
      </c>
      <c r="J9" s="19"/>
      <c r="K9" t="s">
        <v>581</v>
      </c>
      <c r="N9" s="19"/>
      <c r="O9" s="19"/>
      <c r="P9" s="19"/>
      <c r="Q9" s="19"/>
    </row>
    <row r="10" spans="1:17">
      <c r="A10" s="19" t="s">
        <v>579</v>
      </c>
      <c r="B10" s="19" t="s">
        <v>561</v>
      </c>
      <c r="C10" s="19" t="s">
        <v>562</v>
      </c>
      <c r="D10" s="19" t="s">
        <v>580</v>
      </c>
      <c r="E10" s="19">
        <v>4.75</v>
      </c>
      <c r="F10" s="20">
        <v>15797</v>
      </c>
      <c r="G10" s="19" t="s">
        <v>14</v>
      </c>
      <c r="H10" s="19" t="s">
        <v>574</v>
      </c>
      <c r="I10" s="19" t="s">
        <v>580</v>
      </c>
      <c r="J10" s="19"/>
      <c r="K10" t="s">
        <v>561</v>
      </c>
      <c r="N10" s="19"/>
      <c r="O10" s="19"/>
      <c r="P10" s="19"/>
      <c r="Q10" s="19"/>
    </row>
    <row r="11" spans="1:17">
      <c r="A11" s="19" t="s">
        <v>582</v>
      </c>
      <c r="B11" s="19" t="s">
        <v>561</v>
      </c>
      <c r="C11" s="19" t="s">
        <v>562</v>
      </c>
      <c r="D11" s="19" t="s">
        <v>580</v>
      </c>
      <c r="E11" s="19">
        <v>4.4000000000000004</v>
      </c>
      <c r="F11" s="20">
        <v>15646</v>
      </c>
      <c r="G11" s="19" t="s">
        <v>14</v>
      </c>
      <c r="H11" s="19" t="s">
        <v>574</v>
      </c>
      <c r="I11" s="19" t="s">
        <v>583</v>
      </c>
      <c r="J11" s="19"/>
      <c r="K11" t="s">
        <v>584</v>
      </c>
      <c r="N11" s="19"/>
      <c r="O11" s="19"/>
      <c r="P11" s="19"/>
      <c r="Q11" s="19"/>
    </row>
    <row r="12" spans="1:17">
      <c r="A12" s="19" t="s">
        <v>585</v>
      </c>
      <c r="B12" s="19" t="s">
        <v>561</v>
      </c>
      <c r="C12" s="19" t="s">
        <v>562</v>
      </c>
      <c r="D12" s="19" t="s">
        <v>573</v>
      </c>
      <c r="E12" s="19">
        <v>2.2999999999999998</v>
      </c>
      <c r="F12" s="20">
        <v>10990</v>
      </c>
      <c r="G12" s="19" t="s">
        <v>574</v>
      </c>
      <c r="H12" s="19" t="s">
        <v>569</v>
      </c>
      <c r="I12" s="19" t="s">
        <v>586</v>
      </c>
      <c r="J12" s="19"/>
      <c r="N12" s="19"/>
      <c r="O12" s="19"/>
      <c r="P12" s="19"/>
      <c r="Q12" s="19"/>
    </row>
    <row r="13" spans="1:17" ht="28.8">
      <c r="A13" s="19" t="s">
        <v>587</v>
      </c>
      <c r="B13" s="19" t="s">
        <v>561</v>
      </c>
      <c r="C13" s="19" t="s">
        <v>562</v>
      </c>
      <c r="D13" s="19" t="s">
        <v>573</v>
      </c>
      <c r="E13" s="19">
        <v>3.9239999999999999</v>
      </c>
      <c r="F13" s="20">
        <v>11841</v>
      </c>
      <c r="G13" s="19" t="s">
        <v>574</v>
      </c>
      <c r="H13" s="19" t="s">
        <v>574</v>
      </c>
      <c r="I13" s="19" t="s">
        <v>588</v>
      </c>
      <c r="J13" s="19"/>
      <c r="N13" s="19"/>
      <c r="O13" s="19"/>
      <c r="P13" s="19"/>
      <c r="Q13" s="19"/>
    </row>
    <row r="14" spans="1:17" ht="28.8">
      <c r="A14" s="19" t="s">
        <v>587</v>
      </c>
      <c r="B14" s="19" t="s">
        <v>561</v>
      </c>
      <c r="C14" s="19" t="s">
        <v>562</v>
      </c>
      <c r="D14" s="19" t="s">
        <v>573</v>
      </c>
      <c r="E14" s="19">
        <v>4.3929999999999998</v>
      </c>
      <c r="F14" s="20">
        <v>19146</v>
      </c>
      <c r="G14" s="19" t="s">
        <v>589</v>
      </c>
      <c r="H14" s="19" t="s">
        <v>574</v>
      </c>
      <c r="I14" s="19" t="s">
        <v>588</v>
      </c>
      <c r="J14" s="19"/>
      <c r="N14" s="19"/>
      <c r="O14" s="19"/>
      <c r="P14" s="19"/>
      <c r="Q14" s="19"/>
    </row>
    <row r="15" spans="1:17">
      <c r="A15" s="19" t="s">
        <v>590</v>
      </c>
      <c r="B15" s="19" t="s">
        <v>561</v>
      </c>
      <c r="C15" s="19" t="s">
        <v>562</v>
      </c>
      <c r="D15" s="19" t="s">
        <v>573</v>
      </c>
      <c r="E15" s="19">
        <v>1.1000000000000001</v>
      </c>
      <c r="F15" s="21">
        <v>46264</v>
      </c>
      <c r="G15" s="19" t="s">
        <v>574</v>
      </c>
      <c r="H15" s="19" t="s">
        <v>569</v>
      </c>
      <c r="I15" s="19" t="s">
        <v>591</v>
      </c>
      <c r="J15" s="19"/>
      <c r="N15" s="19"/>
      <c r="O15" s="19"/>
      <c r="P15" s="19"/>
      <c r="Q15" s="19"/>
    </row>
    <row r="16" spans="1:17">
      <c r="A16" s="19" t="s">
        <v>590</v>
      </c>
      <c r="B16" s="19" t="s">
        <v>561</v>
      </c>
      <c r="C16" s="19" t="s">
        <v>562</v>
      </c>
      <c r="D16" s="19" t="s">
        <v>573</v>
      </c>
      <c r="E16" s="19">
        <v>1.9</v>
      </c>
      <c r="F16" s="20">
        <v>14824</v>
      </c>
      <c r="G16" s="19" t="s">
        <v>14</v>
      </c>
      <c r="H16" s="19" t="s">
        <v>569</v>
      </c>
      <c r="I16" s="19" t="s">
        <v>591</v>
      </c>
      <c r="J16" s="19"/>
      <c r="N16" s="19"/>
      <c r="O16" s="19"/>
      <c r="P16" s="19"/>
      <c r="Q16" s="19"/>
    </row>
    <row r="17" spans="1:17" ht="28.8">
      <c r="A17" s="19" t="s">
        <v>592</v>
      </c>
      <c r="B17" s="19" t="s">
        <v>561</v>
      </c>
      <c r="C17" s="19" t="s">
        <v>562</v>
      </c>
      <c r="D17" s="19" t="s">
        <v>593</v>
      </c>
      <c r="E17" s="19">
        <v>7.5259999999999998</v>
      </c>
      <c r="F17" s="20">
        <v>19572</v>
      </c>
      <c r="G17" s="19" t="s">
        <v>589</v>
      </c>
      <c r="H17" s="19" t="s">
        <v>564</v>
      </c>
      <c r="I17" s="19" t="s">
        <v>593</v>
      </c>
      <c r="J17" s="19"/>
      <c r="N17" s="19"/>
      <c r="O17" s="19"/>
      <c r="P17" s="19"/>
      <c r="Q17" s="19"/>
    </row>
    <row r="18" spans="1:17" ht="28.8">
      <c r="A18" s="19" t="s">
        <v>594</v>
      </c>
      <c r="B18" s="19" t="s">
        <v>561</v>
      </c>
      <c r="C18" s="19" t="s">
        <v>562</v>
      </c>
      <c r="D18" s="19" t="s">
        <v>595</v>
      </c>
      <c r="E18" s="19">
        <v>10.199999999999999</v>
      </c>
      <c r="F18" s="20">
        <v>14277</v>
      </c>
      <c r="G18" s="19" t="s">
        <v>14</v>
      </c>
      <c r="H18" s="19" t="s">
        <v>564</v>
      </c>
      <c r="I18" s="19" t="s">
        <v>596</v>
      </c>
      <c r="J18" s="19"/>
      <c r="N18" s="19"/>
      <c r="O18" s="19"/>
      <c r="P18" s="19"/>
      <c r="Q18" s="19"/>
    </row>
    <row r="19" spans="1:17" ht="28.8">
      <c r="A19" s="19" t="s">
        <v>594</v>
      </c>
      <c r="B19" s="19" t="s">
        <v>561</v>
      </c>
      <c r="C19" s="19" t="s">
        <v>562</v>
      </c>
      <c r="D19" s="19" t="s">
        <v>595</v>
      </c>
      <c r="E19" s="19">
        <v>9.9499999999999993</v>
      </c>
      <c r="F19" s="20">
        <v>14185</v>
      </c>
      <c r="G19" s="19" t="s">
        <v>14</v>
      </c>
      <c r="H19" s="19" t="s">
        <v>564</v>
      </c>
      <c r="I19" s="19" t="s">
        <v>596</v>
      </c>
      <c r="J19" s="19"/>
      <c r="N19" s="19"/>
      <c r="O19" s="19"/>
      <c r="P19" s="19"/>
      <c r="Q19" s="19"/>
    </row>
    <row r="20" spans="1:17" ht="28.8">
      <c r="A20" s="19" t="s">
        <v>594</v>
      </c>
      <c r="B20" s="19" t="s">
        <v>561</v>
      </c>
      <c r="C20" s="19" t="s">
        <v>562</v>
      </c>
      <c r="D20" s="19" t="s">
        <v>595</v>
      </c>
      <c r="E20" s="19">
        <v>5.375</v>
      </c>
      <c r="F20" s="20">
        <v>16072</v>
      </c>
      <c r="G20" s="19" t="s">
        <v>14</v>
      </c>
      <c r="H20" s="19" t="s">
        <v>574</v>
      </c>
      <c r="I20" s="19" t="s">
        <v>596</v>
      </c>
      <c r="J20" s="19"/>
      <c r="K20" s="19"/>
      <c r="L20" s="19"/>
      <c r="M20" s="19"/>
      <c r="N20" s="19"/>
      <c r="O20" s="19"/>
      <c r="P20" s="19"/>
      <c r="Q20" s="19"/>
    </row>
    <row r="21" spans="1:17">
      <c r="A21" s="19" t="s">
        <v>597</v>
      </c>
      <c r="B21" s="19" t="s">
        <v>561</v>
      </c>
      <c r="C21" s="19" t="s">
        <v>562</v>
      </c>
      <c r="D21" s="19" t="s">
        <v>598</v>
      </c>
      <c r="E21" s="19">
        <v>7.25</v>
      </c>
      <c r="F21" s="21">
        <v>46354</v>
      </c>
      <c r="G21" s="19" t="s">
        <v>446</v>
      </c>
      <c r="H21" s="19" t="s">
        <v>564</v>
      </c>
      <c r="I21" s="19" t="s">
        <v>599</v>
      </c>
      <c r="J21" s="19"/>
      <c r="K21" s="19"/>
      <c r="L21" s="19"/>
      <c r="M21" s="19"/>
      <c r="N21" s="19"/>
      <c r="O21" s="19"/>
      <c r="P21" s="19"/>
      <c r="Q21" s="19"/>
    </row>
    <row r="22" spans="1:17">
      <c r="A22" s="19" t="s">
        <v>600</v>
      </c>
      <c r="B22" s="19" t="s">
        <v>561</v>
      </c>
      <c r="C22" s="19" t="s">
        <v>562</v>
      </c>
      <c r="D22" s="19" t="s">
        <v>601</v>
      </c>
      <c r="E22" s="19">
        <v>3.8</v>
      </c>
      <c r="F22" s="21">
        <v>46202</v>
      </c>
      <c r="G22" s="19" t="s">
        <v>574</v>
      </c>
      <c r="H22" s="19" t="s">
        <v>569</v>
      </c>
      <c r="I22" s="19" t="s">
        <v>601</v>
      </c>
      <c r="J22" s="19"/>
      <c r="K22" s="19"/>
      <c r="L22" s="19"/>
      <c r="M22" s="19"/>
      <c r="N22" s="19"/>
      <c r="O22" s="19"/>
      <c r="P22" s="19"/>
      <c r="Q22" s="19"/>
    </row>
    <row r="23" spans="1:17">
      <c r="A23" s="19" t="s">
        <v>602</v>
      </c>
      <c r="B23" s="19" t="s">
        <v>561</v>
      </c>
      <c r="C23" s="19" t="s">
        <v>562</v>
      </c>
      <c r="D23" s="19" t="s">
        <v>593</v>
      </c>
      <c r="E23" s="19">
        <v>6.9</v>
      </c>
      <c r="F23" s="20">
        <v>14580</v>
      </c>
      <c r="G23" s="19" t="s">
        <v>14</v>
      </c>
      <c r="H23" s="19" t="s">
        <v>564</v>
      </c>
      <c r="I23" s="19" t="s">
        <v>593</v>
      </c>
      <c r="J23" s="19"/>
      <c r="K23" s="19"/>
      <c r="L23" s="19"/>
      <c r="M23" s="19"/>
      <c r="N23" s="19"/>
      <c r="O23" s="19"/>
      <c r="P23" s="19"/>
      <c r="Q23" s="19"/>
    </row>
    <row r="24" spans="1:17">
      <c r="A24" s="19" t="s">
        <v>603</v>
      </c>
      <c r="B24" s="19" t="s">
        <v>561</v>
      </c>
      <c r="C24" s="19" t="s">
        <v>562</v>
      </c>
      <c r="D24" s="19" t="s">
        <v>598</v>
      </c>
      <c r="E24" s="19">
        <v>7.8</v>
      </c>
      <c r="F24" s="21">
        <v>46080</v>
      </c>
      <c r="G24" s="19" t="s">
        <v>446</v>
      </c>
      <c r="H24" s="19" t="s">
        <v>564</v>
      </c>
      <c r="I24" s="19" t="s">
        <v>604</v>
      </c>
      <c r="J24" s="19"/>
      <c r="K24" s="19"/>
      <c r="L24" s="19"/>
      <c r="M24" s="19"/>
      <c r="N24" s="19"/>
      <c r="O24" s="19"/>
      <c r="P24" s="19"/>
      <c r="Q24" s="19"/>
    </row>
    <row r="25" spans="1:17">
      <c r="A25" s="19" t="s">
        <v>605</v>
      </c>
      <c r="B25" s="19" t="s">
        <v>561</v>
      </c>
      <c r="C25" s="19" t="s">
        <v>562</v>
      </c>
      <c r="D25" s="19" t="s">
        <v>606</v>
      </c>
      <c r="E25" s="19">
        <v>3.125</v>
      </c>
      <c r="F25" s="21">
        <v>46168</v>
      </c>
      <c r="G25" s="19" t="s">
        <v>446</v>
      </c>
      <c r="H25" s="19" t="s">
        <v>574</v>
      </c>
      <c r="I25" s="19" t="s">
        <v>607</v>
      </c>
      <c r="J25" s="19"/>
      <c r="K25" s="19"/>
      <c r="L25" s="19"/>
      <c r="M25" s="19"/>
      <c r="N25" s="19"/>
      <c r="O25" s="19"/>
      <c r="P25" s="19"/>
      <c r="Q25" s="19"/>
    </row>
    <row r="26" spans="1:17">
      <c r="A26" s="19" t="s">
        <v>605</v>
      </c>
      <c r="B26" s="19" t="s">
        <v>561</v>
      </c>
      <c r="C26" s="19" t="s">
        <v>562</v>
      </c>
      <c r="D26" s="19" t="s">
        <v>606</v>
      </c>
      <c r="E26" s="19">
        <v>8.15</v>
      </c>
      <c r="F26" s="20">
        <v>13940</v>
      </c>
      <c r="G26" s="19" t="s">
        <v>14</v>
      </c>
      <c r="H26" s="19" t="s">
        <v>564</v>
      </c>
      <c r="I26" s="19" t="s">
        <v>607</v>
      </c>
      <c r="J26" s="19"/>
      <c r="K26" s="19"/>
      <c r="L26" s="19"/>
      <c r="M26" s="19"/>
      <c r="N26" s="19"/>
      <c r="O26" s="19"/>
      <c r="P26" s="19"/>
      <c r="Q26" s="19"/>
    </row>
    <row r="27" spans="1:17" ht="28.8">
      <c r="A27" s="19" t="s">
        <v>608</v>
      </c>
      <c r="B27" s="19" t="s">
        <v>561</v>
      </c>
      <c r="C27" s="19" t="s">
        <v>562</v>
      </c>
      <c r="D27" s="19" t="s">
        <v>609</v>
      </c>
      <c r="E27" s="19">
        <v>2.85</v>
      </c>
      <c r="F27" s="20">
        <v>18749</v>
      </c>
      <c r="G27" s="19" t="s">
        <v>589</v>
      </c>
      <c r="H27" s="19" t="s">
        <v>569</v>
      </c>
      <c r="I27" s="19" t="s">
        <v>609</v>
      </c>
      <c r="J27" s="19"/>
      <c r="K27" s="19"/>
      <c r="L27" s="19"/>
      <c r="M27" s="19"/>
      <c r="N27" s="19"/>
      <c r="O27" s="19"/>
      <c r="P27" s="19"/>
      <c r="Q27" s="19"/>
    </row>
    <row r="28" spans="1:17">
      <c r="A28" s="19" t="s">
        <v>610</v>
      </c>
      <c r="B28" s="19" t="s">
        <v>561</v>
      </c>
      <c r="C28" s="19" t="s">
        <v>562</v>
      </c>
      <c r="D28" s="19" t="s">
        <v>598</v>
      </c>
      <c r="E28" s="19">
        <v>4.125</v>
      </c>
      <c r="F28" s="20">
        <v>15373</v>
      </c>
      <c r="G28" s="19" t="s">
        <v>14</v>
      </c>
      <c r="H28" s="19" t="s">
        <v>574</v>
      </c>
      <c r="I28" s="19" t="s">
        <v>611</v>
      </c>
      <c r="J28" s="19"/>
      <c r="K28" s="19"/>
      <c r="L28" s="19"/>
      <c r="M28" s="19"/>
      <c r="N28" s="19"/>
      <c r="O28" s="19"/>
      <c r="P28" s="19"/>
      <c r="Q28" s="19"/>
    </row>
    <row r="29" spans="1:17" ht="28.8">
      <c r="A29" s="19" t="s">
        <v>612</v>
      </c>
      <c r="B29" s="19" t="s">
        <v>561</v>
      </c>
      <c r="C29" s="19" t="s">
        <v>562</v>
      </c>
      <c r="D29" s="19" t="s">
        <v>606</v>
      </c>
      <c r="E29" s="19">
        <v>6.95</v>
      </c>
      <c r="F29" s="21">
        <v>46171</v>
      </c>
      <c r="G29" s="19" t="s">
        <v>574</v>
      </c>
      <c r="H29" s="19" t="s">
        <v>564</v>
      </c>
      <c r="I29" s="19" t="s">
        <v>613</v>
      </c>
      <c r="J29" s="19"/>
      <c r="K29" s="19"/>
      <c r="L29" s="19"/>
      <c r="M29" s="19"/>
      <c r="N29" s="19"/>
      <c r="O29" s="19"/>
      <c r="P29" s="19"/>
      <c r="Q29" s="19"/>
    </row>
    <row r="30" spans="1:17">
      <c r="A30" s="19" t="s">
        <v>614</v>
      </c>
      <c r="B30" s="19" t="s">
        <v>561</v>
      </c>
      <c r="C30" s="19" t="s">
        <v>562</v>
      </c>
      <c r="D30" s="19" t="s">
        <v>573</v>
      </c>
      <c r="E30" s="19">
        <v>3.5</v>
      </c>
      <c r="F30" s="20">
        <v>11475</v>
      </c>
      <c r="G30" s="19" t="s">
        <v>574</v>
      </c>
      <c r="H30" s="19" t="s">
        <v>574</v>
      </c>
      <c r="I30" s="19" t="s">
        <v>615</v>
      </c>
      <c r="J30" s="19"/>
      <c r="K30" s="19"/>
      <c r="L30" s="19"/>
      <c r="M30" s="19"/>
      <c r="N30" s="19"/>
      <c r="O30" s="19"/>
      <c r="P30" s="19"/>
      <c r="Q30" s="19"/>
    </row>
    <row r="31" spans="1:17">
      <c r="A31" s="19" t="s">
        <v>616</v>
      </c>
      <c r="B31" s="19" t="s">
        <v>561</v>
      </c>
      <c r="C31" s="19" t="s">
        <v>562</v>
      </c>
      <c r="D31" s="19" t="s">
        <v>617</v>
      </c>
      <c r="E31" s="19">
        <v>6.875</v>
      </c>
      <c r="F31" s="20">
        <v>15980</v>
      </c>
      <c r="G31" s="19" t="s">
        <v>14</v>
      </c>
      <c r="H31" s="19" t="s">
        <v>564</v>
      </c>
      <c r="I31" s="19" t="s">
        <v>618</v>
      </c>
      <c r="J31" s="19"/>
      <c r="K31" s="19"/>
      <c r="L31" s="19"/>
      <c r="M31" s="19"/>
      <c r="N31" s="19"/>
      <c r="O31" s="19"/>
      <c r="P31" s="19"/>
      <c r="Q31" s="19"/>
    </row>
    <row r="32" spans="1:17" ht="28.8">
      <c r="A32" s="19" t="s">
        <v>619</v>
      </c>
      <c r="B32" s="19" t="s">
        <v>561</v>
      </c>
      <c r="C32" s="19" t="s">
        <v>562</v>
      </c>
      <c r="D32" s="19" t="s">
        <v>580</v>
      </c>
      <c r="E32" s="19">
        <v>4.55</v>
      </c>
      <c r="F32" s="20">
        <v>14305</v>
      </c>
      <c r="G32" s="19" t="s">
        <v>14</v>
      </c>
      <c r="H32" s="19" t="s">
        <v>574</v>
      </c>
      <c r="I32" s="19" t="s">
        <v>620</v>
      </c>
      <c r="J32" s="19"/>
      <c r="K32" s="19"/>
      <c r="L32" s="19"/>
      <c r="M32" s="19"/>
      <c r="N32" s="19"/>
      <c r="O32" s="19"/>
      <c r="P32" s="19"/>
      <c r="Q32" s="19"/>
    </row>
    <row r="33" spans="1:17" ht="28.8">
      <c r="A33" s="19" t="s">
        <v>621</v>
      </c>
      <c r="B33" s="19" t="s">
        <v>561</v>
      </c>
      <c r="C33" s="19" t="s">
        <v>562</v>
      </c>
      <c r="D33" s="19" t="s">
        <v>622</v>
      </c>
      <c r="E33" s="19">
        <v>3.15</v>
      </c>
      <c r="F33" s="21">
        <v>46107</v>
      </c>
      <c r="G33" s="19" t="s">
        <v>446</v>
      </c>
      <c r="H33" s="19" t="s">
        <v>574</v>
      </c>
      <c r="I33" s="19" t="s">
        <v>623</v>
      </c>
      <c r="J33" s="19"/>
      <c r="K33" s="19"/>
      <c r="L33" s="19"/>
      <c r="M33" s="19"/>
      <c r="N33" s="19"/>
      <c r="O33" s="19"/>
      <c r="P33" s="19"/>
      <c r="Q33" s="19"/>
    </row>
    <row r="34" spans="1:17" ht="28.8">
      <c r="A34" s="19" t="s">
        <v>621</v>
      </c>
      <c r="B34" s="19" t="s">
        <v>561</v>
      </c>
      <c r="C34" s="19" t="s">
        <v>562</v>
      </c>
      <c r="D34" s="19" t="s">
        <v>622</v>
      </c>
      <c r="E34" s="19">
        <v>4.25</v>
      </c>
      <c r="F34" s="20">
        <v>12055</v>
      </c>
      <c r="G34" s="19" t="s">
        <v>574</v>
      </c>
      <c r="H34" s="19" t="s">
        <v>574</v>
      </c>
      <c r="I34" s="19" t="s">
        <v>623</v>
      </c>
      <c r="J34" s="19"/>
      <c r="K34" s="19"/>
      <c r="L34" s="19"/>
      <c r="M34" s="19"/>
      <c r="N34" s="19"/>
      <c r="O34" s="19"/>
      <c r="P34" s="19"/>
      <c r="Q34" s="19"/>
    </row>
    <row r="35" spans="1:17" ht="28.8">
      <c r="A35" s="19" t="s">
        <v>621</v>
      </c>
      <c r="B35" s="19" t="s">
        <v>561</v>
      </c>
      <c r="C35" s="19" t="s">
        <v>562</v>
      </c>
      <c r="D35" s="19" t="s">
        <v>622</v>
      </c>
      <c r="E35" s="19">
        <v>3.9689999999999999</v>
      </c>
      <c r="F35" s="20">
        <v>17472</v>
      </c>
      <c r="G35" s="19" t="s">
        <v>14</v>
      </c>
      <c r="H35" s="19" t="s">
        <v>574</v>
      </c>
      <c r="I35" s="19" t="s">
        <v>623</v>
      </c>
      <c r="J35" s="19"/>
      <c r="K35" s="19"/>
      <c r="L35" s="19"/>
      <c r="M35" s="19"/>
      <c r="N35" s="19"/>
      <c r="O35" s="19"/>
      <c r="P35" s="19"/>
      <c r="Q35" s="19"/>
    </row>
    <row r="36" spans="1:17">
      <c r="A36" s="19" t="s">
        <v>624</v>
      </c>
      <c r="B36" s="19" t="s">
        <v>561</v>
      </c>
      <c r="C36" s="19" t="s">
        <v>562</v>
      </c>
      <c r="D36" s="19" t="s">
        <v>606</v>
      </c>
      <c r="E36" s="19">
        <v>8.125</v>
      </c>
      <c r="F36" s="20">
        <v>14427</v>
      </c>
      <c r="G36" s="19" t="s">
        <v>14</v>
      </c>
      <c r="H36" s="19" t="s">
        <v>564</v>
      </c>
      <c r="I36" s="19" t="s">
        <v>625</v>
      </c>
      <c r="J36" s="19"/>
      <c r="K36" s="19"/>
      <c r="L36" s="19"/>
      <c r="M36" s="19"/>
      <c r="N36" s="19"/>
      <c r="O36" s="19"/>
      <c r="P36" s="19"/>
      <c r="Q36" s="19"/>
    </row>
    <row r="37" spans="1:17">
      <c r="A37" s="19" t="s">
        <v>624</v>
      </c>
      <c r="B37" s="19" t="s">
        <v>561</v>
      </c>
      <c r="C37" s="19" t="s">
        <v>562</v>
      </c>
      <c r="D37" s="19" t="s">
        <v>606</v>
      </c>
      <c r="E37" s="19">
        <v>5.3</v>
      </c>
      <c r="F37" s="20">
        <v>16193</v>
      </c>
      <c r="G37" s="19" t="s">
        <v>14</v>
      </c>
      <c r="H37" s="19" t="s">
        <v>574</v>
      </c>
      <c r="I37" s="19" t="s">
        <v>625</v>
      </c>
      <c r="J37" s="19"/>
      <c r="K37" s="19"/>
      <c r="L37" s="19"/>
      <c r="M37" s="19"/>
      <c r="N37" s="19"/>
      <c r="O37" s="19"/>
      <c r="P37" s="19"/>
      <c r="Q37" s="19"/>
    </row>
    <row r="38" spans="1:17">
      <c r="A38" s="19" t="s">
        <v>624</v>
      </c>
      <c r="B38" s="19" t="s">
        <v>561</v>
      </c>
      <c r="C38" s="19" t="s">
        <v>562</v>
      </c>
      <c r="D38" s="19" t="s">
        <v>606</v>
      </c>
      <c r="E38" s="19">
        <v>5.875</v>
      </c>
      <c r="F38" s="20">
        <v>15342</v>
      </c>
      <c r="G38" s="19" t="s">
        <v>14</v>
      </c>
      <c r="H38" s="19" t="s">
        <v>574</v>
      </c>
      <c r="I38" s="19" t="s">
        <v>625</v>
      </c>
      <c r="J38" s="19"/>
      <c r="K38" s="19"/>
      <c r="L38" s="19"/>
      <c r="M38" s="19"/>
      <c r="N38" s="19"/>
      <c r="O38" s="19"/>
      <c r="P38" s="19"/>
      <c r="Q38" s="19"/>
    </row>
    <row r="39" spans="1:17" ht="43.2">
      <c r="A39" s="19" t="s">
        <v>626</v>
      </c>
      <c r="B39" s="19" t="s">
        <v>561</v>
      </c>
      <c r="C39" s="19" t="s">
        <v>562</v>
      </c>
      <c r="D39" s="19" t="s">
        <v>627</v>
      </c>
      <c r="E39" s="19">
        <v>6.75</v>
      </c>
      <c r="F39" s="21">
        <v>46173</v>
      </c>
      <c r="G39" s="19" t="s">
        <v>574</v>
      </c>
      <c r="H39" s="19" t="s">
        <v>564</v>
      </c>
      <c r="I39" s="19" t="s">
        <v>628</v>
      </c>
      <c r="J39" s="19"/>
      <c r="K39" s="19"/>
      <c r="L39" s="19"/>
      <c r="M39" s="19"/>
      <c r="N39" s="19"/>
      <c r="O39" s="19"/>
      <c r="P39" s="19"/>
      <c r="Q39" s="19"/>
    </row>
    <row r="40" spans="1:17">
      <c r="A40" s="19" t="s">
        <v>629</v>
      </c>
      <c r="B40" s="19" t="s">
        <v>561</v>
      </c>
      <c r="C40" s="19" t="s">
        <v>562</v>
      </c>
      <c r="D40" s="19" t="s">
        <v>573</v>
      </c>
      <c r="E40" s="19">
        <v>5.9</v>
      </c>
      <c r="F40" s="20">
        <v>14277</v>
      </c>
      <c r="G40" s="19" t="s">
        <v>14</v>
      </c>
      <c r="H40" s="19" t="s">
        <v>574</v>
      </c>
      <c r="I40" s="19" t="s">
        <v>630</v>
      </c>
      <c r="J40" s="19"/>
      <c r="K40" s="19"/>
      <c r="L40" s="19"/>
      <c r="M40" s="19"/>
      <c r="N40" s="19"/>
      <c r="O40" s="19"/>
      <c r="P40" s="19"/>
      <c r="Q40" s="19"/>
    </row>
    <row r="41" spans="1:17">
      <c r="A41" s="19" t="s">
        <v>631</v>
      </c>
      <c r="B41" s="19" t="s">
        <v>561</v>
      </c>
      <c r="C41" s="19" t="s">
        <v>562</v>
      </c>
      <c r="D41" s="19" t="s">
        <v>573</v>
      </c>
      <c r="E41" s="19">
        <v>4.8</v>
      </c>
      <c r="F41" s="21">
        <v>46107</v>
      </c>
      <c r="G41" s="19" t="s">
        <v>446</v>
      </c>
      <c r="H41" s="19" t="s">
        <v>574</v>
      </c>
      <c r="I41" s="19" t="s">
        <v>632</v>
      </c>
      <c r="J41" s="19"/>
      <c r="K41" s="19"/>
      <c r="L41" s="19"/>
      <c r="M41" s="19"/>
      <c r="N41" s="19"/>
      <c r="O41" s="19"/>
      <c r="P41" s="19"/>
      <c r="Q41" s="19"/>
    </row>
    <row r="42" spans="1:17">
      <c r="A42" s="19" t="s">
        <v>631</v>
      </c>
      <c r="B42" s="19" t="s">
        <v>561</v>
      </c>
      <c r="C42" s="19" t="s">
        <v>562</v>
      </c>
      <c r="D42" s="19" t="s">
        <v>573</v>
      </c>
      <c r="E42" s="19">
        <v>1.85</v>
      </c>
      <c r="F42" s="20">
        <v>11355</v>
      </c>
      <c r="G42" s="19" t="s">
        <v>574</v>
      </c>
      <c r="H42" s="19" t="s">
        <v>569</v>
      </c>
      <c r="I42" s="19" t="s">
        <v>632</v>
      </c>
      <c r="J42" s="19"/>
      <c r="K42" s="19"/>
      <c r="L42" s="19"/>
      <c r="M42" s="19"/>
      <c r="N42" s="19"/>
      <c r="O42" s="19"/>
      <c r="P42" s="19"/>
      <c r="Q42" s="19"/>
    </row>
    <row r="43" spans="1:17">
      <c r="A43" s="19" t="s">
        <v>633</v>
      </c>
      <c r="B43" s="19" t="s">
        <v>561</v>
      </c>
      <c r="C43" s="19" t="s">
        <v>562</v>
      </c>
      <c r="D43" s="19" t="s">
        <v>617</v>
      </c>
      <c r="E43" s="19">
        <v>7.5</v>
      </c>
      <c r="F43" s="21">
        <v>46260</v>
      </c>
      <c r="G43" s="19" t="s">
        <v>446</v>
      </c>
      <c r="H43" s="19" t="s">
        <v>564</v>
      </c>
      <c r="I43" s="19" t="s">
        <v>634</v>
      </c>
      <c r="J43" s="19"/>
      <c r="K43" s="19"/>
      <c r="L43" s="19"/>
      <c r="M43" s="19"/>
      <c r="N43" s="19"/>
      <c r="O43" s="19"/>
      <c r="P43" s="19"/>
      <c r="Q43" s="19"/>
    </row>
    <row r="44" spans="1:17" ht="28.8">
      <c r="A44" s="19" t="s">
        <v>633</v>
      </c>
      <c r="B44" s="19" t="s">
        <v>561</v>
      </c>
      <c r="C44" s="19" t="s">
        <v>562</v>
      </c>
      <c r="D44" s="19" t="s">
        <v>617</v>
      </c>
      <c r="E44" s="19">
        <v>7.7</v>
      </c>
      <c r="F44" s="20">
        <v>35551</v>
      </c>
      <c r="G44" s="19" t="s">
        <v>589</v>
      </c>
      <c r="H44" s="19" t="s">
        <v>564</v>
      </c>
      <c r="I44" s="19" t="s">
        <v>634</v>
      </c>
      <c r="J44" s="19"/>
      <c r="K44" s="19"/>
      <c r="L44" s="19"/>
      <c r="M44" s="19"/>
      <c r="N44" s="19"/>
      <c r="O44" s="19"/>
      <c r="P44" s="19"/>
      <c r="Q44" s="19"/>
    </row>
    <row r="45" spans="1:17" ht="28.8">
      <c r="A45" s="19" t="s">
        <v>635</v>
      </c>
      <c r="B45" s="19" t="s">
        <v>561</v>
      </c>
      <c r="C45" s="19" t="s">
        <v>562</v>
      </c>
      <c r="D45" s="19" t="s">
        <v>606</v>
      </c>
      <c r="E45" s="19">
        <v>6.25</v>
      </c>
      <c r="F45" s="20">
        <v>15008</v>
      </c>
      <c r="G45" s="19" t="s">
        <v>14</v>
      </c>
      <c r="H45" s="19" t="s">
        <v>574</v>
      </c>
      <c r="I45" s="19" t="s">
        <v>636</v>
      </c>
      <c r="J45" s="19"/>
      <c r="K45" s="19"/>
      <c r="L45" s="19"/>
      <c r="M45" s="19"/>
      <c r="N45" s="19"/>
      <c r="O45" s="19"/>
      <c r="P45" s="19"/>
      <c r="Q45" s="19"/>
    </row>
    <row r="46" spans="1:17">
      <c r="A46" s="19" t="s">
        <v>637</v>
      </c>
      <c r="B46" s="19" t="s">
        <v>561</v>
      </c>
      <c r="C46" s="19" t="s">
        <v>562</v>
      </c>
      <c r="D46" s="19" t="s">
        <v>606</v>
      </c>
      <c r="E46" s="19">
        <v>6.5</v>
      </c>
      <c r="F46" s="20">
        <v>13759</v>
      </c>
      <c r="G46" s="19" t="s">
        <v>14</v>
      </c>
      <c r="H46" s="19" t="s">
        <v>574</v>
      </c>
      <c r="I46" s="19" t="s">
        <v>625</v>
      </c>
      <c r="J46" s="19"/>
      <c r="K46" s="19"/>
      <c r="L46" s="19"/>
      <c r="M46" s="19"/>
      <c r="N46" s="19"/>
      <c r="O46" s="19"/>
      <c r="P46" s="19"/>
      <c r="Q46" s="19"/>
    </row>
    <row r="47" spans="1:17">
      <c r="A47" s="19" t="s">
        <v>638</v>
      </c>
      <c r="B47" s="19" t="s">
        <v>561</v>
      </c>
      <c r="C47" s="19" t="s">
        <v>562</v>
      </c>
      <c r="D47" s="19" t="s">
        <v>617</v>
      </c>
      <c r="E47" s="19">
        <v>3.9</v>
      </c>
      <c r="F47" s="21">
        <v>46230</v>
      </c>
      <c r="G47" s="19" t="s">
        <v>446</v>
      </c>
      <c r="H47" s="19" t="s">
        <v>574</v>
      </c>
      <c r="I47" s="19" t="s">
        <v>639</v>
      </c>
      <c r="J47" s="19"/>
      <c r="K47" s="19"/>
      <c r="L47" s="19"/>
      <c r="M47" s="19"/>
      <c r="N47" s="19"/>
      <c r="O47" s="19"/>
      <c r="P47" s="19"/>
      <c r="Q47" s="19"/>
    </row>
    <row r="48" spans="1:17">
      <c r="A48" s="19" t="s">
        <v>640</v>
      </c>
      <c r="B48" s="19" t="s">
        <v>561</v>
      </c>
      <c r="C48" s="19" t="s">
        <v>562</v>
      </c>
      <c r="D48" s="19" t="s">
        <v>573</v>
      </c>
      <c r="E48" s="19">
        <v>4.9000000000000004</v>
      </c>
      <c r="F48" s="20">
        <v>16619</v>
      </c>
      <c r="G48" s="19" t="s">
        <v>14</v>
      </c>
      <c r="H48" s="19" t="s">
        <v>574</v>
      </c>
      <c r="I48" s="19" t="s">
        <v>588</v>
      </c>
      <c r="J48" s="19"/>
      <c r="K48" s="19"/>
      <c r="L48" s="19"/>
      <c r="M48" s="19"/>
      <c r="N48" s="19"/>
      <c r="O48" s="19"/>
      <c r="P48" s="19"/>
      <c r="Q48" s="19"/>
    </row>
    <row r="49" spans="1:17">
      <c r="A49" s="19" t="s">
        <v>641</v>
      </c>
      <c r="B49" s="19" t="s">
        <v>561</v>
      </c>
      <c r="C49" s="19" t="s">
        <v>562</v>
      </c>
      <c r="D49" s="19" t="s">
        <v>606</v>
      </c>
      <c r="E49" s="19">
        <v>6.4</v>
      </c>
      <c r="F49" s="20">
        <v>14001</v>
      </c>
      <c r="G49" s="19" t="s">
        <v>14</v>
      </c>
      <c r="H49" s="19" t="s">
        <v>574</v>
      </c>
      <c r="I49" s="19" t="s">
        <v>625</v>
      </c>
      <c r="J49" s="19"/>
      <c r="K49" s="19"/>
      <c r="L49" s="19"/>
      <c r="M49" s="19"/>
      <c r="N49" s="19"/>
      <c r="O49" s="19"/>
      <c r="P49" s="19"/>
      <c r="Q49" s="19"/>
    </row>
    <row r="50" spans="1:17">
      <c r="A50" s="19" t="s">
        <v>641</v>
      </c>
      <c r="B50" s="19" t="s">
        <v>561</v>
      </c>
      <c r="C50" s="19" t="s">
        <v>562</v>
      </c>
      <c r="D50" s="19" t="s">
        <v>606</v>
      </c>
      <c r="E50" s="19">
        <v>5.5</v>
      </c>
      <c r="F50" s="20">
        <v>14885</v>
      </c>
      <c r="G50" s="19" t="s">
        <v>14</v>
      </c>
      <c r="H50" s="19" t="s">
        <v>574</v>
      </c>
      <c r="I50" s="19" t="s">
        <v>625</v>
      </c>
      <c r="J50" s="19"/>
      <c r="K50" s="19"/>
      <c r="L50" s="19"/>
      <c r="M50" s="19"/>
      <c r="N50" s="19"/>
      <c r="O50" s="19"/>
      <c r="P50" s="19"/>
      <c r="Q50" s="19"/>
    </row>
    <row r="51" spans="1:17">
      <c r="A51" s="19" t="s">
        <v>641</v>
      </c>
      <c r="B51" s="19" t="s">
        <v>561</v>
      </c>
      <c r="C51" s="19" t="s">
        <v>562</v>
      </c>
      <c r="D51" s="19" t="s">
        <v>606</v>
      </c>
      <c r="E51" s="19">
        <v>5.6</v>
      </c>
      <c r="F51" s="20">
        <v>15158</v>
      </c>
      <c r="G51" s="19" t="s">
        <v>14</v>
      </c>
      <c r="H51" s="19" t="s">
        <v>574</v>
      </c>
      <c r="I51" s="19" t="s">
        <v>625</v>
      </c>
      <c r="J51" s="19"/>
      <c r="K51" s="19"/>
      <c r="L51" s="19"/>
      <c r="M51" s="19"/>
      <c r="N51" s="19"/>
      <c r="O51" s="19"/>
      <c r="P51" s="19"/>
      <c r="Q51" s="19"/>
    </row>
    <row r="52" spans="1:17">
      <c r="A52" s="19" t="s">
        <v>642</v>
      </c>
      <c r="B52" s="19" t="s">
        <v>561</v>
      </c>
      <c r="C52" s="19" t="s">
        <v>562</v>
      </c>
      <c r="D52" s="19" t="s">
        <v>580</v>
      </c>
      <c r="E52" s="19">
        <v>4.95</v>
      </c>
      <c r="F52" s="20">
        <v>12175</v>
      </c>
      <c r="G52" s="19" t="s">
        <v>574</v>
      </c>
      <c r="H52" s="19" t="s">
        <v>574</v>
      </c>
      <c r="I52" s="19" t="s">
        <v>583</v>
      </c>
      <c r="J52" s="19"/>
      <c r="K52" s="19"/>
      <c r="L52" s="19"/>
      <c r="M52" s="19"/>
      <c r="N52" s="19"/>
      <c r="O52" s="19"/>
      <c r="P52" s="19"/>
      <c r="Q52" s="19"/>
    </row>
    <row r="53" spans="1:17" ht="28.8">
      <c r="A53" s="19" t="s">
        <v>643</v>
      </c>
      <c r="B53" s="19" t="s">
        <v>561</v>
      </c>
      <c r="C53" s="19" t="s">
        <v>562</v>
      </c>
      <c r="D53" s="19" t="s">
        <v>595</v>
      </c>
      <c r="E53" s="19">
        <v>6.875</v>
      </c>
      <c r="F53" s="20">
        <v>14246</v>
      </c>
      <c r="G53" s="19" t="s">
        <v>14</v>
      </c>
      <c r="H53" s="19" t="s">
        <v>564</v>
      </c>
      <c r="I53" s="19" t="s">
        <v>644</v>
      </c>
      <c r="J53" s="19"/>
      <c r="K53" s="19"/>
      <c r="L53" s="19"/>
      <c r="M53" s="19"/>
      <c r="N53" s="19"/>
      <c r="O53" s="19"/>
      <c r="P53" s="19"/>
      <c r="Q53" s="19"/>
    </row>
    <row r="54" spans="1:17" ht="28.8">
      <c r="A54" s="19" t="s">
        <v>643</v>
      </c>
      <c r="B54" s="19" t="s">
        <v>561</v>
      </c>
      <c r="C54" s="19" t="s">
        <v>562</v>
      </c>
      <c r="D54" s="19" t="s">
        <v>595</v>
      </c>
      <c r="E54" s="19">
        <v>6.5</v>
      </c>
      <c r="F54" s="20">
        <v>14642</v>
      </c>
      <c r="G54" s="19" t="s">
        <v>14</v>
      </c>
      <c r="H54" s="19" t="s">
        <v>574</v>
      </c>
      <c r="I54" s="19" t="s">
        <v>644</v>
      </c>
      <c r="J54" s="19"/>
      <c r="K54" s="19"/>
      <c r="L54" s="19"/>
      <c r="M54" s="19"/>
      <c r="N54" s="19"/>
      <c r="O54" s="19"/>
      <c r="P54" s="19"/>
      <c r="Q54" s="19"/>
    </row>
    <row r="55" spans="1:17">
      <c r="A55" s="19" t="s">
        <v>645</v>
      </c>
      <c r="B55" s="19" t="s">
        <v>561</v>
      </c>
      <c r="C55" s="19" t="s">
        <v>562</v>
      </c>
      <c r="D55" s="19" t="s">
        <v>606</v>
      </c>
      <c r="E55" s="19">
        <v>2.95</v>
      </c>
      <c r="F55" s="21">
        <v>46202</v>
      </c>
      <c r="G55" s="19" t="s">
        <v>574</v>
      </c>
      <c r="H55" s="19" t="s">
        <v>569</v>
      </c>
      <c r="I55" s="19" t="s">
        <v>646</v>
      </c>
      <c r="J55" s="19"/>
      <c r="K55" s="19"/>
      <c r="L55" s="19"/>
      <c r="M55" s="19"/>
      <c r="N55" s="19"/>
      <c r="O55" s="19"/>
      <c r="P55" s="19"/>
      <c r="Q55" s="19"/>
    </row>
    <row r="56" spans="1:17">
      <c r="A56" s="19" t="s">
        <v>645</v>
      </c>
      <c r="B56" s="19" t="s">
        <v>561</v>
      </c>
      <c r="C56" s="19" t="s">
        <v>562</v>
      </c>
      <c r="D56" s="19" t="s">
        <v>606</v>
      </c>
      <c r="E56" s="19">
        <v>3.95</v>
      </c>
      <c r="F56" s="20">
        <v>17564</v>
      </c>
      <c r="G56" s="19" t="s">
        <v>14</v>
      </c>
      <c r="H56" s="19" t="s">
        <v>574</v>
      </c>
      <c r="I56" s="19" t="s">
        <v>646</v>
      </c>
      <c r="J56" s="19"/>
      <c r="K56" s="19"/>
      <c r="L56" s="19"/>
      <c r="M56" s="19"/>
      <c r="N56" s="19"/>
      <c r="O56" s="19"/>
      <c r="P56" s="19"/>
      <c r="Q56" s="19"/>
    </row>
    <row r="57" spans="1:17" ht="28.8">
      <c r="A57" s="19" t="s">
        <v>647</v>
      </c>
      <c r="B57" s="19" t="s">
        <v>561</v>
      </c>
      <c r="C57" s="19" t="s">
        <v>562</v>
      </c>
      <c r="D57" s="19" t="s">
        <v>593</v>
      </c>
      <c r="E57" s="19">
        <v>10.75</v>
      </c>
      <c r="F57" s="20">
        <v>25416</v>
      </c>
      <c r="G57" s="19" t="s">
        <v>589</v>
      </c>
      <c r="H57" s="19" t="s">
        <v>564</v>
      </c>
      <c r="I57" s="19" t="s">
        <v>593</v>
      </c>
      <c r="J57" s="19"/>
      <c r="K57" s="19"/>
      <c r="L57" s="19"/>
      <c r="M57" s="19"/>
      <c r="N57" s="19"/>
      <c r="O57" s="19"/>
      <c r="P57" s="19"/>
      <c r="Q57" s="19"/>
    </row>
    <row r="58" spans="1:17">
      <c r="A58" s="19" t="s">
        <v>648</v>
      </c>
      <c r="B58" s="19" t="s">
        <v>561</v>
      </c>
      <c r="C58" s="19" t="s">
        <v>562</v>
      </c>
      <c r="D58" s="19" t="s">
        <v>573</v>
      </c>
      <c r="E58" s="19">
        <v>5.2</v>
      </c>
      <c r="F58" s="20">
        <v>14397</v>
      </c>
      <c r="G58" s="19" t="s">
        <v>14</v>
      </c>
      <c r="H58" s="19" t="s">
        <v>574</v>
      </c>
      <c r="I58" s="19" t="s">
        <v>586</v>
      </c>
      <c r="J58" s="19"/>
      <c r="K58" s="19"/>
      <c r="L58" s="19"/>
      <c r="M58" s="19"/>
      <c r="N58" s="19"/>
      <c r="O58" s="19"/>
      <c r="P58" s="19"/>
      <c r="Q58" s="19"/>
    </row>
    <row r="59" spans="1:17" ht="43.2">
      <c r="A59" s="19" t="s">
        <v>649</v>
      </c>
      <c r="B59" s="19" t="s">
        <v>561</v>
      </c>
      <c r="C59" s="19" t="s">
        <v>562</v>
      </c>
      <c r="D59" s="19" t="s">
        <v>627</v>
      </c>
      <c r="E59" s="19">
        <v>3.625</v>
      </c>
      <c r="F59" s="20">
        <v>15827</v>
      </c>
      <c r="G59" s="19" t="s">
        <v>14</v>
      </c>
      <c r="H59" s="19" t="s">
        <v>569</v>
      </c>
      <c r="I59" s="19" t="s">
        <v>650</v>
      </c>
      <c r="J59" s="19"/>
      <c r="K59" s="19"/>
      <c r="L59" s="19"/>
      <c r="M59" s="19"/>
      <c r="N59" s="19"/>
      <c r="O59" s="19"/>
      <c r="P59" s="19"/>
      <c r="Q59" s="19"/>
    </row>
    <row r="60" spans="1:17">
      <c r="A60" s="19" t="s">
        <v>651</v>
      </c>
      <c r="B60" s="19" t="s">
        <v>561</v>
      </c>
      <c r="C60" s="19" t="s">
        <v>562</v>
      </c>
      <c r="D60" s="19" t="s">
        <v>573</v>
      </c>
      <c r="E60" s="19">
        <v>2.85</v>
      </c>
      <c r="F60" s="21">
        <v>46142</v>
      </c>
      <c r="G60" s="19" t="s">
        <v>574</v>
      </c>
      <c r="H60" s="19" t="s">
        <v>569</v>
      </c>
      <c r="I60" s="19" t="s">
        <v>588</v>
      </c>
      <c r="J60" s="19"/>
      <c r="K60" s="19"/>
      <c r="L60" s="19"/>
      <c r="M60" s="19"/>
      <c r="N60" s="19"/>
      <c r="O60" s="19"/>
      <c r="P60" s="19"/>
      <c r="Q60" s="19"/>
    </row>
    <row r="61" spans="1:17" ht="28.8">
      <c r="A61" s="19" t="s">
        <v>652</v>
      </c>
      <c r="B61" s="19" t="s">
        <v>561</v>
      </c>
      <c r="C61" s="19" t="s">
        <v>562</v>
      </c>
      <c r="D61" s="19" t="s">
        <v>580</v>
      </c>
      <c r="E61" s="19">
        <v>3.1680000000000001</v>
      </c>
      <c r="F61" s="20">
        <v>18933</v>
      </c>
      <c r="G61" s="19" t="s">
        <v>589</v>
      </c>
      <c r="H61" s="19" t="s">
        <v>569</v>
      </c>
      <c r="I61" s="19" t="s">
        <v>580</v>
      </c>
      <c r="J61" s="19"/>
      <c r="K61" s="19"/>
      <c r="L61" s="19"/>
      <c r="M61" s="19"/>
      <c r="N61" s="19"/>
      <c r="O61" s="19"/>
      <c r="P61" s="19"/>
      <c r="Q61" s="19"/>
    </row>
    <row r="62" spans="1:17">
      <c r="A62" s="19" t="s">
        <v>653</v>
      </c>
      <c r="B62" s="19" t="s">
        <v>561</v>
      </c>
      <c r="C62" s="19" t="s">
        <v>562</v>
      </c>
      <c r="D62" s="19" t="s">
        <v>606</v>
      </c>
      <c r="E62" s="19">
        <v>5.15</v>
      </c>
      <c r="F62" s="20">
        <v>12571</v>
      </c>
      <c r="G62" s="19" t="s">
        <v>574</v>
      </c>
      <c r="H62" s="19" t="s">
        <v>574</v>
      </c>
      <c r="I62" s="19" t="s">
        <v>615</v>
      </c>
      <c r="J62" s="19"/>
      <c r="K62" s="19"/>
      <c r="L62" s="19"/>
      <c r="M62" s="19"/>
      <c r="N62" s="19"/>
      <c r="O62" s="19"/>
      <c r="P62" s="19"/>
      <c r="Q62" s="19"/>
    </row>
    <row r="63" spans="1:17" ht="28.8">
      <c r="A63" s="19" t="s">
        <v>654</v>
      </c>
      <c r="B63" s="19" t="s">
        <v>561</v>
      </c>
      <c r="C63" s="19" t="s">
        <v>562</v>
      </c>
      <c r="D63" s="19" t="s">
        <v>595</v>
      </c>
      <c r="E63" s="19">
        <v>4.8460000000000001</v>
      </c>
      <c r="F63" s="21">
        <v>46079</v>
      </c>
      <c r="G63" s="19" t="s">
        <v>446</v>
      </c>
      <c r="H63" s="19" t="s">
        <v>574</v>
      </c>
      <c r="I63" s="19" t="s">
        <v>655</v>
      </c>
      <c r="J63" s="19"/>
      <c r="K63" s="19"/>
      <c r="L63" s="19"/>
      <c r="M63" s="19"/>
      <c r="N63" s="19"/>
      <c r="O63" s="19"/>
      <c r="P63" s="19"/>
      <c r="Q63" s="19"/>
    </row>
    <row r="64" spans="1:17">
      <c r="A64" s="19" t="s">
        <v>656</v>
      </c>
      <c r="B64" s="19" t="s">
        <v>561</v>
      </c>
      <c r="C64" s="19" t="s">
        <v>562</v>
      </c>
      <c r="D64" s="19" t="s">
        <v>580</v>
      </c>
      <c r="E64" s="19">
        <v>2.75</v>
      </c>
      <c r="F64" s="21">
        <v>46199</v>
      </c>
      <c r="G64" s="19" t="s">
        <v>446</v>
      </c>
      <c r="H64" s="19" t="s">
        <v>569</v>
      </c>
      <c r="I64" s="19" t="s">
        <v>583</v>
      </c>
      <c r="J64" s="19"/>
      <c r="K64" s="19"/>
      <c r="L64" s="19"/>
      <c r="M64" s="19"/>
      <c r="N64" s="19"/>
      <c r="O64" s="19"/>
      <c r="P64" s="19"/>
      <c r="Q64" s="19"/>
    </row>
    <row r="65" spans="1:17">
      <c r="A65" s="19" t="s">
        <v>657</v>
      </c>
      <c r="B65" s="19" t="s">
        <v>561</v>
      </c>
      <c r="C65" s="19" t="s">
        <v>562</v>
      </c>
      <c r="D65" s="19" t="s">
        <v>601</v>
      </c>
      <c r="E65" s="19">
        <v>4.2</v>
      </c>
      <c r="F65" s="20">
        <v>15128</v>
      </c>
      <c r="G65" s="19" t="s">
        <v>14</v>
      </c>
      <c r="H65" s="19" t="s">
        <v>574</v>
      </c>
      <c r="I65" s="19" t="s">
        <v>601</v>
      </c>
      <c r="J65" s="19"/>
      <c r="K65" s="19"/>
      <c r="L65" s="19"/>
      <c r="M65" s="19"/>
      <c r="N65" s="19"/>
      <c r="O65" s="19"/>
      <c r="P65" s="19"/>
      <c r="Q65" s="19"/>
    </row>
    <row r="66" spans="1:17" ht="28.8">
      <c r="A66" s="19" t="s">
        <v>658</v>
      </c>
      <c r="B66" s="19" t="s">
        <v>561</v>
      </c>
      <c r="C66" s="19" t="s">
        <v>562</v>
      </c>
      <c r="D66" s="19" t="s">
        <v>595</v>
      </c>
      <c r="E66" s="19">
        <v>4.5</v>
      </c>
      <c r="F66" s="20">
        <v>15401</v>
      </c>
      <c r="G66" s="19" t="s">
        <v>14</v>
      </c>
      <c r="H66" s="19" t="s">
        <v>574</v>
      </c>
      <c r="I66" s="19" t="s">
        <v>596</v>
      </c>
      <c r="J66" s="19"/>
      <c r="K66" s="19"/>
      <c r="L66" s="19"/>
      <c r="M66" s="19"/>
      <c r="N66" s="19"/>
      <c r="O66" s="19"/>
      <c r="P66" s="19"/>
      <c r="Q66" s="19"/>
    </row>
    <row r="67" spans="1:17" ht="28.8">
      <c r="A67" s="19" t="s">
        <v>658</v>
      </c>
      <c r="B67" s="19" t="s">
        <v>561</v>
      </c>
      <c r="C67" s="19" t="s">
        <v>562</v>
      </c>
      <c r="D67" s="19" t="s">
        <v>595</v>
      </c>
      <c r="E67" s="19">
        <v>6.375</v>
      </c>
      <c r="F67" s="20">
        <v>14001</v>
      </c>
      <c r="G67" s="19" t="s">
        <v>14</v>
      </c>
      <c r="H67" s="19" t="s">
        <v>564</v>
      </c>
      <c r="I67" s="19" t="s">
        <v>596</v>
      </c>
      <c r="J67" s="19"/>
      <c r="K67" s="19"/>
      <c r="L67" s="19"/>
      <c r="M67" s="19"/>
      <c r="N67" s="19"/>
      <c r="O67" s="19"/>
      <c r="P67" s="19"/>
      <c r="Q67" s="19"/>
    </row>
    <row r="68" spans="1:17" ht="28.8">
      <c r="A68" s="19" t="s">
        <v>659</v>
      </c>
      <c r="B68" s="19" t="s">
        <v>561</v>
      </c>
      <c r="C68" s="19" t="s">
        <v>562</v>
      </c>
      <c r="D68" s="19" t="s">
        <v>595</v>
      </c>
      <c r="E68" s="19">
        <v>8</v>
      </c>
      <c r="F68" s="21">
        <v>46324</v>
      </c>
      <c r="G68" s="19" t="s">
        <v>574</v>
      </c>
      <c r="H68" s="19" t="s">
        <v>564</v>
      </c>
      <c r="I68" s="19" t="s">
        <v>660</v>
      </c>
      <c r="J68" s="19"/>
      <c r="K68" s="19"/>
      <c r="L68" s="19"/>
      <c r="M68" s="19"/>
      <c r="N68" s="19"/>
      <c r="O68" s="19"/>
      <c r="P68" s="19"/>
      <c r="Q68" s="19"/>
    </row>
    <row r="69" spans="1:17" ht="43.2">
      <c r="A69" s="19" t="s">
        <v>661</v>
      </c>
      <c r="B69" s="19" t="s">
        <v>561</v>
      </c>
      <c r="C69" s="19" t="s">
        <v>562</v>
      </c>
      <c r="D69" s="19" t="s">
        <v>627</v>
      </c>
      <c r="E69" s="19">
        <v>2.95</v>
      </c>
      <c r="F69" s="21">
        <v>46203</v>
      </c>
      <c r="G69" s="19" t="s">
        <v>574</v>
      </c>
      <c r="H69" s="19" t="s">
        <v>569</v>
      </c>
      <c r="I69" s="19" t="s">
        <v>650</v>
      </c>
      <c r="J69" s="19"/>
      <c r="K69" s="19"/>
      <c r="L69" s="19"/>
      <c r="M69" s="19"/>
      <c r="N69" s="19"/>
      <c r="O69" s="19"/>
      <c r="P69" s="19"/>
      <c r="Q69" s="19"/>
    </row>
    <row r="70" spans="1:17" ht="43.2">
      <c r="A70" s="19" t="s">
        <v>662</v>
      </c>
      <c r="B70" s="19" t="s">
        <v>561</v>
      </c>
      <c r="C70" s="19" t="s">
        <v>562</v>
      </c>
      <c r="D70" s="19" t="s">
        <v>627</v>
      </c>
      <c r="E70" s="19">
        <v>4.75</v>
      </c>
      <c r="F70" s="21">
        <v>46079</v>
      </c>
      <c r="G70" s="19" t="s">
        <v>446</v>
      </c>
      <c r="H70" s="19" t="s">
        <v>574</v>
      </c>
      <c r="I70" s="19" t="s">
        <v>663</v>
      </c>
      <c r="J70" s="19"/>
      <c r="K70" s="19"/>
      <c r="L70" s="19"/>
      <c r="M70" s="19"/>
      <c r="N70" s="19"/>
      <c r="O70" s="19"/>
      <c r="P70" s="19"/>
      <c r="Q70" s="19"/>
    </row>
    <row r="71" spans="1:17" ht="43.2">
      <c r="A71" s="19" t="s">
        <v>662</v>
      </c>
      <c r="B71" s="19" t="s">
        <v>561</v>
      </c>
      <c r="C71" s="19" t="s">
        <v>562</v>
      </c>
      <c r="D71" s="19" t="s">
        <v>627</v>
      </c>
      <c r="E71" s="19">
        <v>3</v>
      </c>
      <c r="F71" s="20">
        <v>11720</v>
      </c>
      <c r="G71" s="19" t="s">
        <v>574</v>
      </c>
      <c r="H71" s="19" t="s">
        <v>569</v>
      </c>
      <c r="I71" s="19" t="s">
        <v>663</v>
      </c>
      <c r="J71" s="19"/>
      <c r="K71" s="19"/>
      <c r="L71" s="19"/>
      <c r="M71" s="19"/>
      <c r="N71" s="19"/>
      <c r="O71" s="19"/>
      <c r="P71" s="19"/>
      <c r="Q71" s="19"/>
    </row>
    <row r="72" spans="1:17">
      <c r="A72" s="19" t="s">
        <v>664</v>
      </c>
      <c r="B72" s="19" t="s">
        <v>561</v>
      </c>
      <c r="C72" s="19" t="s">
        <v>562</v>
      </c>
      <c r="D72" s="19" t="s">
        <v>568</v>
      </c>
      <c r="E72" s="19">
        <v>2.35</v>
      </c>
      <c r="F72" s="20">
        <v>10990</v>
      </c>
      <c r="G72" s="19" t="s">
        <v>574</v>
      </c>
      <c r="H72" s="19" t="s">
        <v>569</v>
      </c>
      <c r="I72" s="19" t="s">
        <v>568</v>
      </c>
      <c r="J72" s="19"/>
      <c r="K72" s="19"/>
      <c r="L72" s="19"/>
      <c r="M72" s="19"/>
      <c r="N72" s="19"/>
      <c r="O72" s="19"/>
      <c r="P72" s="19"/>
      <c r="Q72" s="19"/>
    </row>
    <row r="73" spans="1:17">
      <c r="A73" s="19" t="s">
        <v>664</v>
      </c>
      <c r="B73" s="19" t="s">
        <v>561</v>
      </c>
      <c r="C73" s="19" t="s">
        <v>562</v>
      </c>
      <c r="D73" s="19" t="s">
        <v>568</v>
      </c>
      <c r="E73" s="19">
        <v>4.4000000000000004</v>
      </c>
      <c r="F73" s="20">
        <v>12055</v>
      </c>
      <c r="G73" s="19" t="s">
        <v>574</v>
      </c>
      <c r="H73" s="19" t="s">
        <v>574</v>
      </c>
      <c r="I73" s="19" t="s">
        <v>568</v>
      </c>
      <c r="J73" s="19"/>
      <c r="K73" s="19"/>
      <c r="L73" s="19"/>
      <c r="M73" s="19"/>
      <c r="N73" s="19"/>
      <c r="O73" s="19"/>
      <c r="P73" s="19"/>
      <c r="Q73" s="19"/>
    </row>
    <row r="74" spans="1:17">
      <c r="A74" s="19" t="s">
        <v>665</v>
      </c>
      <c r="B74" s="19" t="s">
        <v>561</v>
      </c>
      <c r="C74" s="19" t="s">
        <v>562</v>
      </c>
      <c r="D74" s="19" t="s">
        <v>563</v>
      </c>
      <c r="E74" s="19">
        <v>6.2</v>
      </c>
      <c r="F74" s="20">
        <v>12754</v>
      </c>
      <c r="G74" s="19" t="s">
        <v>574</v>
      </c>
      <c r="H74" s="19" t="s">
        <v>564</v>
      </c>
      <c r="I74" s="19" t="s">
        <v>563</v>
      </c>
      <c r="J74" s="19"/>
      <c r="K74" s="19"/>
      <c r="L74" s="19"/>
      <c r="M74" s="19"/>
      <c r="N74" s="19"/>
      <c r="O74" s="19"/>
      <c r="P74" s="19"/>
      <c r="Q74" s="19"/>
    </row>
    <row r="75" spans="1:17" ht="28.8">
      <c r="A75" s="19" t="s">
        <v>666</v>
      </c>
      <c r="B75" s="19" t="s">
        <v>561</v>
      </c>
      <c r="C75" s="19" t="s">
        <v>562</v>
      </c>
      <c r="D75" s="19" t="s">
        <v>617</v>
      </c>
      <c r="E75" s="19">
        <v>4.875</v>
      </c>
      <c r="F75" s="20">
        <v>12114</v>
      </c>
      <c r="G75" s="19" t="s">
        <v>574</v>
      </c>
      <c r="H75" s="19" t="s">
        <v>574</v>
      </c>
      <c r="I75" s="19" t="s">
        <v>667</v>
      </c>
      <c r="J75" s="19"/>
      <c r="K75" s="19"/>
      <c r="L75" s="19"/>
      <c r="M75" s="19"/>
      <c r="N75" s="19"/>
      <c r="O75" s="19"/>
      <c r="P75" s="19"/>
      <c r="Q75" s="19"/>
    </row>
    <row r="76" spans="1:17" ht="28.8">
      <c r="A76" s="19" t="s">
        <v>666</v>
      </c>
      <c r="B76" s="19" t="s">
        <v>561</v>
      </c>
      <c r="C76" s="19" t="s">
        <v>562</v>
      </c>
      <c r="D76" s="19" t="s">
        <v>617</v>
      </c>
      <c r="E76" s="19">
        <v>2.5</v>
      </c>
      <c r="F76" s="21">
        <v>46294</v>
      </c>
      <c r="G76" s="19" t="s">
        <v>574</v>
      </c>
      <c r="H76" s="19" t="s">
        <v>569</v>
      </c>
      <c r="I76" s="19" t="s">
        <v>667</v>
      </c>
      <c r="J76" s="19"/>
      <c r="K76" s="19"/>
      <c r="L76" s="19"/>
      <c r="M76" s="19"/>
      <c r="N76" s="19"/>
      <c r="O76" s="19"/>
      <c r="P76" s="19"/>
      <c r="Q76" s="19"/>
    </row>
    <row r="77" spans="1:17" ht="28.8">
      <c r="A77" s="19" t="s">
        <v>668</v>
      </c>
      <c r="B77" s="19" t="s">
        <v>561</v>
      </c>
      <c r="C77" s="19" t="s">
        <v>562</v>
      </c>
      <c r="D77" s="19" t="s">
        <v>617</v>
      </c>
      <c r="E77" s="19">
        <v>6.875</v>
      </c>
      <c r="F77" s="21">
        <v>46110</v>
      </c>
      <c r="G77" s="19" t="s">
        <v>574</v>
      </c>
      <c r="H77" s="19" t="s">
        <v>564</v>
      </c>
      <c r="I77" s="19" t="s">
        <v>669</v>
      </c>
      <c r="J77" s="19"/>
      <c r="K77" s="19"/>
      <c r="L77" s="19"/>
      <c r="M77" s="19"/>
      <c r="N77" s="19"/>
      <c r="O77" s="19"/>
      <c r="P77" s="19"/>
      <c r="Q77" s="19"/>
    </row>
    <row r="78" spans="1:17" ht="28.8">
      <c r="A78" s="19" t="s">
        <v>670</v>
      </c>
      <c r="B78" s="19" t="s">
        <v>561</v>
      </c>
      <c r="C78" s="19" t="s">
        <v>562</v>
      </c>
      <c r="D78" s="19" t="s">
        <v>622</v>
      </c>
      <c r="E78" s="19">
        <v>2.625</v>
      </c>
      <c r="F78" s="21">
        <v>46260</v>
      </c>
      <c r="G78" s="19" t="s">
        <v>446</v>
      </c>
      <c r="H78" s="19" t="s">
        <v>569</v>
      </c>
      <c r="I78" s="19" t="s">
        <v>623</v>
      </c>
      <c r="J78" s="19"/>
      <c r="K78" s="19"/>
      <c r="L78" s="19"/>
      <c r="M78" s="19"/>
      <c r="N78" s="19"/>
      <c r="O78" s="19"/>
      <c r="P78" s="19"/>
      <c r="Q78" s="19"/>
    </row>
    <row r="79" spans="1:17" ht="28.8">
      <c r="A79" s="19" t="s">
        <v>670</v>
      </c>
      <c r="B79" s="19" t="s">
        <v>561</v>
      </c>
      <c r="C79" s="19" t="s">
        <v>562</v>
      </c>
      <c r="D79" s="19" t="s">
        <v>622</v>
      </c>
      <c r="E79" s="19">
        <v>5.1109999999999998</v>
      </c>
      <c r="F79" s="21">
        <v>46107</v>
      </c>
      <c r="G79" s="19" t="s">
        <v>446</v>
      </c>
      <c r="H79" s="19" t="s">
        <v>574</v>
      </c>
      <c r="I79" s="19" t="s">
        <v>623</v>
      </c>
      <c r="J79" s="19"/>
      <c r="K79" s="19"/>
      <c r="L79" s="19"/>
      <c r="M79" s="19"/>
      <c r="N79" s="19"/>
      <c r="O79" s="19"/>
      <c r="P79" s="19"/>
      <c r="Q79" s="19"/>
    </row>
    <row r="80" spans="1:17" ht="28.8">
      <c r="A80" s="19" t="s">
        <v>671</v>
      </c>
      <c r="B80" s="19" t="s">
        <v>561</v>
      </c>
      <c r="C80" s="19" t="s">
        <v>562</v>
      </c>
      <c r="D80" s="19" t="s">
        <v>601</v>
      </c>
      <c r="E80" s="19">
        <v>7.75</v>
      </c>
      <c r="F80" s="20">
        <v>11810</v>
      </c>
      <c r="G80" s="19" t="s">
        <v>574</v>
      </c>
      <c r="H80" s="19" t="s">
        <v>564</v>
      </c>
      <c r="I80" s="19" t="s">
        <v>672</v>
      </c>
      <c r="J80" s="19"/>
      <c r="K80" s="19"/>
      <c r="L80" s="19"/>
      <c r="M80" s="19"/>
      <c r="N80" s="19"/>
      <c r="O80" s="19"/>
      <c r="P80" s="19"/>
      <c r="Q80" s="19"/>
    </row>
    <row r="81" spans="1:17">
      <c r="A81" s="19" t="s">
        <v>673</v>
      </c>
      <c r="B81" s="19" t="s">
        <v>561</v>
      </c>
      <c r="C81" s="19" t="s">
        <v>562</v>
      </c>
      <c r="D81" s="19" t="s">
        <v>606</v>
      </c>
      <c r="E81" s="19">
        <v>1.35</v>
      </c>
      <c r="F81" s="21">
        <v>46107</v>
      </c>
      <c r="G81" s="19" t="s">
        <v>446</v>
      </c>
      <c r="H81" s="19" t="s">
        <v>569</v>
      </c>
      <c r="I81" s="19" t="s">
        <v>646</v>
      </c>
      <c r="J81" s="19"/>
      <c r="K81" s="19"/>
      <c r="L81" s="19"/>
      <c r="M81" s="19"/>
      <c r="N81" s="19"/>
      <c r="O81" s="19"/>
      <c r="P81" s="19"/>
      <c r="Q81" s="19"/>
    </row>
    <row r="82" spans="1:17">
      <c r="A82" s="19" t="s">
        <v>674</v>
      </c>
      <c r="B82" s="19" t="s">
        <v>561</v>
      </c>
      <c r="C82" s="19" t="s">
        <v>562</v>
      </c>
      <c r="D82" s="19" t="s">
        <v>568</v>
      </c>
      <c r="E82" s="19">
        <v>5.25</v>
      </c>
      <c r="F82" s="20">
        <v>13028</v>
      </c>
      <c r="G82" s="19" t="s">
        <v>14</v>
      </c>
      <c r="H82" s="19" t="s">
        <v>574</v>
      </c>
      <c r="I82" s="19" t="s">
        <v>568</v>
      </c>
      <c r="J82" s="19"/>
      <c r="K82" s="19"/>
      <c r="L82" s="19"/>
      <c r="M82" s="19"/>
      <c r="N82" s="19"/>
      <c r="O82" s="19"/>
      <c r="P82" s="19"/>
      <c r="Q82" s="19"/>
    </row>
    <row r="83" spans="1:17">
      <c r="A83" s="19" t="s">
        <v>674</v>
      </c>
      <c r="B83" s="19" t="s">
        <v>561</v>
      </c>
      <c r="C83" s="19" t="s">
        <v>562</v>
      </c>
      <c r="D83" s="19" t="s">
        <v>568</v>
      </c>
      <c r="E83" s="19">
        <v>6.5</v>
      </c>
      <c r="F83" s="20">
        <v>13728</v>
      </c>
      <c r="G83" s="19" t="s">
        <v>14</v>
      </c>
      <c r="H83" s="19" t="s">
        <v>564</v>
      </c>
      <c r="I83" s="19" t="s">
        <v>568</v>
      </c>
      <c r="J83" s="19"/>
      <c r="K83" s="19"/>
      <c r="L83" s="19"/>
      <c r="M83" s="19"/>
      <c r="N83" s="19"/>
      <c r="O83" s="19"/>
      <c r="P83" s="19"/>
      <c r="Q83" s="19"/>
    </row>
    <row r="84" spans="1:17">
      <c r="A84" s="19" t="s">
        <v>674</v>
      </c>
      <c r="B84" s="19" t="s">
        <v>561</v>
      </c>
      <c r="C84" s="19" t="s">
        <v>562</v>
      </c>
      <c r="D84" s="19" t="s">
        <v>568</v>
      </c>
      <c r="E84" s="19">
        <v>6.2</v>
      </c>
      <c r="F84" s="20">
        <v>13971</v>
      </c>
      <c r="G84" s="19" t="s">
        <v>14</v>
      </c>
      <c r="H84" s="19" t="s">
        <v>564</v>
      </c>
      <c r="I84" s="19" t="s">
        <v>568</v>
      </c>
      <c r="J84" s="19"/>
      <c r="K84" s="19"/>
      <c r="L84" s="19"/>
      <c r="M84" s="19"/>
      <c r="N84" s="19"/>
      <c r="O84" s="19"/>
      <c r="P84" s="19"/>
      <c r="Q84" s="19"/>
    </row>
    <row r="85" spans="1:17">
      <c r="A85" s="19" t="s">
        <v>674</v>
      </c>
      <c r="B85" s="19" t="s">
        <v>561</v>
      </c>
      <c r="C85" s="19" t="s">
        <v>562</v>
      </c>
      <c r="D85" s="19" t="s">
        <v>568</v>
      </c>
      <c r="E85" s="19">
        <v>5</v>
      </c>
      <c r="F85" s="20">
        <v>14885</v>
      </c>
      <c r="G85" s="19" t="s">
        <v>14</v>
      </c>
      <c r="H85" s="19" t="s">
        <v>574</v>
      </c>
      <c r="I85" s="19" t="s">
        <v>568</v>
      </c>
      <c r="J85" s="19"/>
      <c r="K85" s="19"/>
      <c r="L85" s="19"/>
      <c r="M85" s="19"/>
      <c r="N85" s="19"/>
      <c r="O85" s="19"/>
      <c r="P85" s="19"/>
      <c r="Q85" s="19"/>
    </row>
    <row r="86" spans="1:17">
      <c r="A86" s="19" t="s">
        <v>674</v>
      </c>
      <c r="B86" s="19" t="s">
        <v>561</v>
      </c>
      <c r="C86" s="19" t="s">
        <v>562</v>
      </c>
      <c r="D86" s="19" t="s">
        <v>568</v>
      </c>
      <c r="E86" s="19">
        <v>5.625</v>
      </c>
      <c r="F86" s="20">
        <v>15067</v>
      </c>
      <c r="G86" s="19" t="s">
        <v>14</v>
      </c>
      <c r="H86" s="19" t="s">
        <v>574</v>
      </c>
      <c r="I86" s="19" t="s">
        <v>568</v>
      </c>
      <c r="J86" s="19"/>
      <c r="K86" s="19"/>
      <c r="L86" s="19"/>
      <c r="M86" s="19"/>
      <c r="N86" s="19"/>
      <c r="O86" s="19"/>
      <c r="P86" s="19"/>
      <c r="Q86" s="19"/>
    </row>
    <row r="87" spans="1:17">
      <c r="A87" s="19" t="s">
        <v>675</v>
      </c>
      <c r="B87" s="19" t="s">
        <v>561</v>
      </c>
      <c r="C87" s="19" t="s">
        <v>562</v>
      </c>
      <c r="D87" s="19" t="s">
        <v>606</v>
      </c>
      <c r="E87" s="19">
        <v>5.375</v>
      </c>
      <c r="F87" s="20">
        <v>16011</v>
      </c>
      <c r="G87" s="19" t="s">
        <v>14</v>
      </c>
      <c r="H87" s="19" t="s">
        <v>574</v>
      </c>
      <c r="I87" s="19" t="s">
        <v>625</v>
      </c>
      <c r="J87" s="19"/>
      <c r="K87" s="19"/>
      <c r="L87" s="19"/>
      <c r="M87" s="19"/>
      <c r="N87" s="19"/>
      <c r="O87" s="19"/>
      <c r="P87" s="19"/>
      <c r="Q87" s="19"/>
    </row>
    <row r="88" spans="1:17" ht="28.8">
      <c r="A88" s="19" t="s">
        <v>676</v>
      </c>
      <c r="B88" s="19" t="s">
        <v>561</v>
      </c>
      <c r="C88" s="19" t="s">
        <v>677</v>
      </c>
      <c r="D88" s="19" t="s">
        <v>677</v>
      </c>
      <c r="E88" s="19">
        <v>7.625</v>
      </c>
      <c r="F88" s="22">
        <v>45703</v>
      </c>
      <c r="G88" s="19" t="s">
        <v>446</v>
      </c>
      <c r="H88" s="19" t="s">
        <v>564</v>
      </c>
      <c r="I88" s="19" t="s">
        <v>678</v>
      </c>
      <c r="J88" s="19"/>
      <c r="K88" s="19"/>
      <c r="L88" s="19"/>
      <c r="M88" s="19"/>
      <c r="N88" s="19"/>
      <c r="O88" s="19"/>
      <c r="P88" s="19"/>
      <c r="Q88" s="19"/>
    </row>
    <row r="89" spans="1:17" ht="28.8">
      <c r="A89" s="19" t="s">
        <v>676</v>
      </c>
      <c r="B89" s="19" t="s">
        <v>561</v>
      </c>
      <c r="C89" s="19" t="s">
        <v>677</v>
      </c>
      <c r="D89" s="19" t="s">
        <v>677</v>
      </c>
      <c r="E89" s="19">
        <v>6.5</v>
      </c>
      <c r="F89" s="22">
        <v>46341</v>
      </c>
      <c r="G89" s="19" t="s">
        <v>446</v>
      </c>
      <c r="H89" s="19" t="s">
        <v>564</v>
      </c>
      <c r="I89" s="19" t="s">
        <v>679</v>
      </c>
      <c r="J89" s="19"/>
      <c r="K89" s="19"/>
      <c r="L89" s="19"/>
      <c r="M89" s="19"/>
      <c r="N89" s="19"/>
      <c r="O89" s="19"/>
      <c r="P89" s="19"/>
      <c r="Q89" s="19"/>
    </row>
    <row r="90" spans="1:17" ht="28.8">
      <c r="A90" s="19" t="s">
        <v>676</v>
      </c>
      <c r="B90" s="19" t="s">
        <v>561</v>
      </c>
      <c r="C90" s="19" t="s">
        <v>677</v>
      </c>
      <c r="D90" s="19" t="s">
        <v>677</v>
      </c>
      <c r="E90" s="19">
        <v>6.625</v>
      </c>
      <c r="F90" s="22">
        <v>46433</v>
      </c>
      <c r="G90" s="19" t="s">
        <v>446</v>
      </c>
      <c r="H90" s="19" t="s">
        <v>564</v>
      </c>
      <c r="I90" s="19" t="s">
        <v>679</v>
      </c>
      <c r="J90" s="19"/>
      <c r="K90" s="19"/>
      <c r="L90" s="19"/>
      <c r="M90" s="19"/>
      <c r="N90" s="19"/>
      <c r="O90" s="19"/>
      <c r="P90" s="19"/>
      <c r="Q90" s="19"/>
    </row>
    <row r="91" spans="1:17" ht="28.8">
      <c r="A91" s="19" t="s">
        <v>676</v>
      </c>
      <c r="B91" s="19" t="s">
        <v>561</v>
      </c>
      <c r="C91" s="19" t="s">
        <v>677</v>
      </c>
      <c r="D91" s="19" t="s">
        <v>677</v>
      </c>
      <c r="E91" s="19">
        <v>2.25</v>
      </c>
      <c r="F91" s="22">
        <v>46614</v>
      </c>
      <c r="G91" s="19" t="s">
        <v>446</v>
      </c>
      <c r="H91" s="19" t="s">
        <v>569</v>
      </c>
      <c r="I91" s="19" t="s">
        <v>679</v>
      </c>
      <c r="J91" s="19"/>
      <c r="K91" s="19"/>
      <c r="L91" s="19"/>
      <c r="M91" s="19"/>
      <c r="N91" s="19"/>
      <c r="O91" s="19"/>
      <c r="P91" s="19"/>
      <c r="Q91" s="19"/>
    </row>
    <row r="92" spans="1:17" ht="28.8">
      <c r="A92" s="19" t="s">
        <v>676</v>
      </c>
      <c r="B92" s="19" t="s">
        <v>561</v>
      </c>
      <c r="C92" s="19" t="s">
        <v>677</v>
      </c>
      <c r="D92" s="19" t="s">
        <v>677</v>
      </c>
      <c r="E92" s="19">
        <v>6.75</v>
      </c>
      <c r="F92" s="22">
        <v>46249</v>
      </c>
      <c r="G92" s="19" t="s">
        <v>446</v>
      </c>
      <c r="H92" s="19" t="s">
        <v>564</v>
      </c>
      <c r="I92" s="19" t="s">
        <v>679</v>
      </c>
      <c r="J92" s="19"/>
      <c r="K92" s="19"/>
      <c r="L92" s="19"/>
      <c r="M92" s="19"/>
      <c r="N92" s="19"/>
      <c r="O92" s="19"/>
      <c r="P92" s="19"/>
      <c r="Q92" s="19"/>
    </row>
    <row r="93" spans="1:17" ht="28.8">
      <c r="A93" s="19" t="s">
        <v>676</v>
      </c>
      <c r="B93" s="19" t="s">
        <v>561</v>
      </c>
      <c r="C93" s="19" t="s">
        <v>677</v>
      </c>
      <c r="D93" s="19" t="s">
        <v>677</v>
      </c>
      <c r="E93" s="19">
        <v>6.5</v>
      </c>
      <c r="F93" s="22">
        <v>46341</v>
      </c>
      <c r="G93" s="19" t="s">
        <v>446</v>
      </c>
      <c r="H93" s="19" t="s">
        <v>564</v>
      </c>
      <c r="I93" s="19" t="s">
        <v>679</v>
      </c>
      <c r="J93" s="19"/>
      <c r="K93" s="19"/>
      <c r="L93" s="19"/>
      <c r="M93" s="19"/>
      <c r="N93" s="19"/>
      <c r="O93" s="19"/>
      <c r="P93" s="19"/>
      <c r="Q93" s="19"/>
    </row>
    <row r="94" spans="1:17" ht="28.8">
      <c r="A94" s="19" t="s">
        <v>676</v>
      </c>
      <c r="B94" s="19" t="s">
        <v>561</v>
      </c>
      <c r="C94" s="19" t="s">
        <v>677</v>
      </c>
      <c r="D94" s="19" t="s">
        <v>677</v>
      </c>
      <c r="E94" s="19">
        <v>2.75</v>
      </c>
      <c r="F94" s="22">
        <v>46798</v>
      </c>
      <c r="G94" s="19" t="s">
        <v>446</v>
      </c>
      <c r="H94" s="19" t="s">
        <v>574</v>
      </c>
      <c r="I94" s="19" t="s">
        <v>679</v>
      </c>
      <c r="J94" s="19"/>
      <c r="K94" s="19"/>
      <c r="L94" s="19"/>
      <c r="M94" s="19"/>
      <c r="N94" s="19"/>
      <c r="O94" s="19"/>
      <c r="P94" s="19"/>
      <c r="Q94" s="19"/>
    </row>
    <row r="95" spans="1:17" ht="28.8">
      <c r="A95" s="19" t="s">
        <v>676</v>
      </c>
      <c r="B95" s="19" t="s">
        <v>561</v>
      </c>
      <c r="C95" s="19" t="s">
        <v>677</v>
      </c>
      <c r="D95" s="19" t="s">
        <v>677</v>
      </c>
      <c r="E95" s="19">
        <v>5.5</v>
      </c>
      <c r="F95" s="22">
        <v>46980</v>
      </c>
      <c r="G95" s="19" t="s">
        <v>574</v>
      </c>
      <c r="H95" s="19" t="s">
        <v>574</v>
      </c>
      <c r="I95" s="19" t="s">
        <v>680</v>
      </c>
      <c r="J95" s="19"/>
      <c r="K95" s="19"/>
      <c r="L95" s="19"/>
      <c r="M95" s="19"/>
      <c r="N95" s="19"/>
      <c r="O95" s="19"/>
      <c r="P95" s="19"/>
      <c r="Q95" s="19"/>
    </row>
    <row r="96" spans="1:17" ht="28.8">
      <c r="A96" s="19" t="s">
        <v>676</v>
      </c>
      <c r="B96" s="19" t="s">
        <v>561</v>
      </c>
      <c r="C96" s="19" t="s">
        <v>677</v>
      </c>
      <c r="D96" s="19" t="s">
        <v>677</v>
      </c>
      <c r="E96" s="19">
        <v>5.25</v>
      </c>
      <c r="F96" s="22">
        <v>47072</v>
      </c>
      <c r="G96" s="19" t="s">
        <v>574</v>
      </c>
      <c r="H96" s="19" t="s">
        <v>574</v>
      </c>
      <c r="I96" s="19" t="s">
        <v>680</v>
      </c>
      <c r="J96" s="19"/>
      <c r="K96" s="19"/>
      <c r="L96" s="19"/>
      <c r="M96" s="19"/>
      <c r="N96" s="19"/>
      <c r="O96" s="19"/>
      <c r="P96" s="19"/>
      <c r="Q96" s="19"/>
    </row>
    <row r="97" spans="1:17" ht="28.8">
      <c r="A97" s="19" t="s">
        <v>676</v>
      </c>
      <c r="B97" s="19" t="s">
        <v>561</v>
      </c>
      <c r="C97" s="19" t="s">
        <v>677</v>
      </c>
      <c r="D97" s="19" t="s">
        <v>677</v>
      </c>
      <c r="E97" s="19">
        <v>5.25</v>
      </c>
      <c r="F97" s="22">
        <v>47164</v>
      </c>
      <c r="G97" s="19" t="s">
        <v>574</v>
      </c>
      <c r="H97" s="19" t="s">
        <v>574</v>
      </c>
      <c r="I97" s="19" t="s">
        <v>680</v>
      </c>
      <c r="J97" s="19"/>
      <c r="K97" s="19"/>
      <c r="L97" s="19"/>
      <c r="M97" s="19"/>
      <c r="N97" s="19"/>
      <c r="O97" s="19"/>
      <c r="P97" s="19"/>
      <c r="Q97" s="19"/>
    </row>
    <row r="98" spans="1:17" ht="28.8">
      <c r="A98" s="19" t="s">
        <v>676</v>
      </c>
      <c r="B98" s="19" t="s">
        <v>561</v>
      </c>
      <c r="C98" s="19" t="s">
        <v>677</v>
      </c>
      <c r="D98" s="19" t="s">
        <v>677</v>
      </c>
      <c r="E98" s="19">
        <v>6.125</v>
      </c>
      <c r="F98" s="22">
        <v>47192</v>
      </c>
      <c r="G98" s="19" t="s">
        <v>574</v>
      </c>
      <c r="H98" s="19" t="s">
        <v>564</v>
      </c>
      <c r="I98" s="19" t="s">
        <v>680</v>
      </c>
      <c r="J98" s="19"/>
      <c r="K98" s="19"/>
      <c r="L98" s="19"/>
      <c r="M98" s="19"/>
      <c r="N98" s="19"/>
      <c r="O98" s="19"/>
      <c r="P98" s="19"/>
      <c r="Q98" s="19"/>
    </row>
    <row r="99" spans="1:17" ht="28.8">
      <c r="A99" s="19" t="s">
        <v>676</v>
      </c>
      <c r="B99" s="19" t="s">
        <v>561</v>
      </c>
      <c r="C99" s="19" t="s">
        <v>677</v>
      </c>
      <c r="D99" s="19" t="s">
        <v>677</v>
      </c>
      <c r="E99" s="19">
        <v>6.25</v>
      </c>
      <c r="F99" s="22">
        <v>11093</v>
      </c>
      <c r="G99" s="19" t="s">
        <v>574</v>
      </c>
      <c r="H99" s="19" t="s">
        <v>564</v>
      </c>
      <c r="I99" s="19" t="s">
        <v>680</v>
      </c>
      <c r="J99" s="19"/>
      <c r="K99" s="19"/>
      <c r="L99" s="19"/>
      <c r="M99" s="19"/>
      <c r="N99" s="19"/>
      <c r="O99" s="19"/>
      <c r="P99" s="19"/>
      <c r="Q99" s="19"/>
    </row>
    <row r="100" spans="1:17" ht="28.8">
      <c r="A100" s="19" t="s">
        <v>676</v>
      </c>
      <c r="B100" s="19" t="s">
        <v>561</v>
      </c>
      <c r="C100" s="19" t="s">
        <v>677</v>
      </c>
      <c r="D100" s="19" t="s">
        <v>677</v>
      </c>
      <c r="E100" s="19">
        <v>5.375</v>
      </c>
      <c r="F100" s="22">
        <v>11369</v>
      </c>
      <c r="G100" s="19" t="s">
        <v>574</v>
      </c>
      <c r="H100" s="19" t="s">
        <v>574</v>
      </c>
      <c r="I100" s="19" t="s">
        <v>680</v>
      </c>
      <c r="J100" s="19"/>
      <c r="K100" s="19"/>
      <c r="L100" s="19"/>
      <c r="M100" s="19"/>
      <c r="N100" s="19"/>
      <c r="O100" s="19"/>
      <c r="P100" s="19"/>
      <c r="Q100" s="19"/>
    </row>
    <row r="101" spans="1:17" ht="28.8">
      <c r="A101" s="19" t="s">
        <v>676</v>
      </c>
      <c r="B101" s="19" t="s">
        <v>561</v>
      </c>
      <c r="C101" s="19" t="s">
        <v>677</v>
      </c>
      <c r="D101" s="19" t="s">
        <v>677</v>
      </c>
      <c r="E101" s="19">
        <v>4.5</v>
      </c>
      <c r="F101" s="22">
        <v>13195</v>
      </c>
      <c r="G101" s="19" t="s">
        <v>14</v>
      </c>
      <c r="H101" s="19" t="s">
        <v>574</v>
      </c>
      <c r="I101" s="19" t="s">
        <v>681</v>
      </c>
      <c r="J101" s="19"/>
      <c r="K101" s="19"/>
      <c r="L101" s="19"/>
      <c r="M101" s="19"/>
      <c r="N101" s="19"/>
      <c r="O101" s="19"/>
      <c r="P101" s="19"/>
      <c r="Q101" s="19"/>
    </row>
    <row r="102" spans="1:17" ht="28.8">
      <c r="A102" s="19" t="s">
        <v>676</v>
      </c>
      <c r="B102" s="19" t="s">
        <v>561</v>
      </c>
      <c r="C102" s="19" t="s">
        <v>677</v>
      </c>
      <c r="D102" s="19" t="s">
        <v>677</v>
      </c>
      <c r="E102" s="19">
        <v>4.75</v>
      </c>
      <c r="F102" s="22">
        <v>13561</v>
      </c>
      <c r="G102" s="19" t="s">
        <v>14</v>
      </c>
      <c r="H102" s="19" t="s">
        <v>574</v>
      </c>
      <c r="I102" s="19" t="s">
        <v>681</v>
      </c>
      <c r="J102" s="19"/>
      <c r="K102" s="19"/>
      <c r="L102" s="19"/>
      <c r="M102" s="19"/>
      <c r="N102" s="19"/>
      <c r="O102" s="19"/>
      <c r="P102" s="19"/>
      <c r="Q102" s="19"/>
    </row>
    <row r="103" spans="1:17" ht="28.8">
      <c r="A103" s="19" t="s">
        <v>676</v>
      </c>
      <c r="B103" s="19" t="s">
        <v>561</v>
      </c>
      <c r="C103" s="19" t="s">
        <v>677</v>
      </c>
      <c r="D103" s="19" t="s">
        <v>677</v>
      </c>
      <c r="E103" s="19">
        <v>4.375</v>
      </c>
      <c r="F103" s="22">
        <v>13926</v>
      </c>
      <c r="G103" s="19" t="s">
        <v>14</v>
      </c>
      <c r="H103" s="19" t="s">
        <v>574</v>
      </c>
      <c r="I103" s="19" t="s">
        <v>681</v>
      </c>
      <c r="J103" s="19"/>
      <c r="K103" s="19"/>
      <c r="L103" s="19"/>
      <c r="M103" s="19"/>
      <c r="N103" s="19"/>
      <c r="O103" s="19"/>
      <c r="P103" s="19"/>
      <c r="Q103" s="19"/>
    </row>
    <row r="104" spans="1:17" ht="28.8">
      <c r="A104" s="19" t="s">
        <v>676</v>
      </c>
      <c r="B104" s="19" t="s">
        <v>561</v>
      </c>
      <c r="C104" s="19" t="s">
        <v>677</v>
      </c>
      <c r="D104" s="19" t="s">
        <v>677</v>
      </c>
      <c r="E104" s="19">
        <v>4.5</v>
      </c>
      <c r="F104" s="22">
        <v>14015</v>
      </c>
      <c r="G104" s="19" t="s">
        <v>14</v>
      </c>
      <c r="H104" s="19" t="s">
        <v>574</v>
      </c>
      <c r="I104" s="19" t="s">
        <v>681</v>
      </c>
      <c r="J104" s="19"/>
      <c r="K104" s="19"/>
      <c r="L104" s="19"/>
      <c r="M104" s="19"/>
      <c r="N104" s="19"/>
      <c r="O104" s="19"/>
      <c r="P104" s="19"/>
      <c r="Q104" s="19"/>
    </row>
    <row r="105" spans="1:17" ht="28.8">
      <c r="A105" s="19" t="s">
        <v>676</v>
      </c>
      <c r="B105" s="19" t="s">
        <v>561</v>
      </c>
      <c r="C105" s="19" t="s">
        <v>677</v>
      </c>
      <c r="D105" s="19" t="s">
        <v>677</v>
      </c>
      <c r="E105" s="19">
        <v>4.25</v>
      </c>
      <c r="F105" s="22">
        <v>14380</v>
      </c>
      <c r="G105" s="19" t="s">
        <v>14</v>
      </c>
      <c r="H105" s="19" t="s">
        <v>574</v>
      </c>
      <c r="I105" s="19" t="s">
        <v>681</v>
      </c>
      <c r="J105" s="19"/>
      <c r="K105" s="19"/>
      <c r="L105" s="19"/>
      <c r="M105" s="19"/>
      <c r="N105" s="19"/>
      <c r="O105" s="19"/>
      <c r="P105" s="19"/>
      <c r="Q105" s="19"/>
    </row>
    <row r="106" spans="1:17" ht="28.8">
      <c r="A106" s="19" t="s">
        <v>676</v>
      </c>
      <c r="B106" s="19" t="s">
        <v>561</v>
      </c>
      <c r="C106" s="19" t="s">
        <v>677</v>
      </c>
      <c r="D106" s="19" t="s">
        <v>677</v>
      </c>
      <c r="E106" s="19"/>
      <c r="F106" s="19"/>
      <c r="G106" s="19"/>
      <c r="H106" s="19"/>
      <c r="I106" s="19"/>
      <c r="J106" s="19"/>
      <c r="K106" s="19"/>
      <c r="L106" s="19"/>
      <c r="M106" s="19"/>
      <c r="N106" s="19"/>
      <c r="O106" s="19"/>
      <c r="P106" s="19"/>
      <c r="Q106" s="19"/>
    </row>
    <row r="107" spans="1:17">
      <c r="A107" s="19" t="s">
        <v>682</v>
      </c>
      <c r="B107" s="19" t="s">
        <v>581</v>
      </c>
      <c r="C107" s="19" t="s">
        <v>562</v>
      </c>
      <c r="D107" s="19" t="s">
        <v>606</v>
      </c>
      <c r="E107" s="19">
        <v>5.75</v>
      </c>
      <c r="F107" s="20">
        <v>12024</v>
      </c>
      <c r="G107" s="19" t="s">
        <v>574</v>
      </c>
      <c r="H107" s="19" t="s">
        <v>574</v>
      </c>
      <c r="I107" s="19" t="s">
        <v>683</v>
      </c>
      <c r="J107" s="19"/>
      <c r="K107" s="19"/>
      <c r="L107" s="19"/>
      <c r="M107" s="19"/>
      <c r="N107" s="19"/>
      <c r="O107" s="19"/>
      <c r="P107" s="19"/>
      <c r="Q107" s="19"/>
    </row>
    <row r="108" spans="1:17">
      <c r="A108" s="19" t="s">
        <v>682</v>
      </c>
      <c r="B108" s="19" t="s">
        <v>581</v>
      </c>
      <c r="C108" s="19" t="s">
        <v>562</v>
      </c>
      <c r="D108" s="19" t="s">
        <v>606</v>
      </c>
      <c r="E108" s="19">
        <v>3.75</v>
      </c>
      <c r="F108" s="20">
        <v>14763</v>
      </c>
      <c r="G108" s="19" t="s">
        <v>14</v>
      </c>
      <c r="H108" s="19" t="s">
        <v>569</v>
      </c>
      <c r="I108" s="19" t="s">
        <v>683</v>
      </c>
      <c r="J108" s="19"/>
      <c r="K108" s="19"/>
      <c r="L108" s="19"/>
      <c r="M108" s="19"/>
      <c r="N108" s="19"/>
      <c r="O108" s="19"/>
      <c r="P108" s="19"/>
      <c r="Q108" s="19"/>
    </row>
    <row r="109" spans="1:17">
      <c r="A109" s="19" t="s">
        <v>684</v>
      </c>
      <c r="B109" s="19" t="s">
        <v>581</v>
      </c>
      <c r="C109" s="19" t="s">
        <v>562</v>
      </c>
      <c r="D109" s="19" t="s">
        <v>593</v>
      </c>
      <c r="E109" s="19">
        <v>6.125</v>
      </c>
      <c r="F109" s="20">
        <v>13455</v>
      </c>
      <c r="G109" s="19" t="s">
        <v>14</v>
      </c>
      <c r="H109" s="19" t="s">
        <v>574</v>
      </c>
      <c r="I109" s="19" t="s">
        <v>593</v>
      </c>
      <c r="J109" s="19"/>
      <c r="K109" s="19"/>
      <c r="L109" s="19"/>
      <c r="M109" s="19"/>
      <c r="N109" s="19"/>
      <c r="O109" s="19"/>
      <c r="P109" s="19"/>
      <c r="Q109" s="19"/>
    </row>
    <row r="110" spans="1:17" ht="28.8">
      <c r="A110" s="19" t="s">
        <v>684</v>
      </c>
      <c r="B110" s="19" t="s">
        <v>581</v>
      </c>
      <c r="C110" s="19" t="s">
        <v>562</v>
      </c>
      <c r="D110" s="19" t="s">
        <v>593</v>
      </c>
      <c r="E110" s="19">
        <v>4.375</v>
      </c>
      <c r="F110" s="20">
        <v>18142</v>
      </c>
      <c r="G110" s="19" t="s">
        <v>589</v>
      </c>
      <c r="H110" s="19" t="s">
        <v>574</v>
      </c>
      <c r="I110" s="19" t="s">
        <v>593</v>
      </c>
      <c r="J110" s="19"/>
      <c r="K110" s="19"/>
      <c r="L110" s="19"/>
      <c r="M110" s="19"/>
      <c r="N110" s="19"/>
      <c r="O110" s="19"/>
      <c r="P110" s="19"/>
      <c r="Q110" s="19"/>
    </row>
    <row r="111" spans="1:17">
      <c r="A111" s="19" t="s">
        <v>685</v>
      </c>
      <c r="B111" s="19" t="s">
        <v>581</v>
      </c>
      <c r="C111" s="19" t="s">
        <v>562</v>
      </c>
      <c r="D111" s="19" t="s">
        <v>609</v>
      </c>
      <c r="E111" s="19">
        <v>5.7729999999999997</v>
      </c>
      <c r="F111" s="20">
        <v>14001</v>
      </c>
      <c r="G111" s="19" t="s">
        <v>14</v>
      </c>
      <c r="H111" s="19" t="s">
        <v>574</v>
      </c>
      <c r="I111" s="19" t="s">
        <v>686</v>
      </c>
      <c r="J111" s="19"/>
      <c r="K111" s="19"/>
      <c r="L111" s="19"/>
      <c r="M111" s="19"/>
      <c r="N111" s="19"/>
      <c r="O111" s="19"/>
      <c r="P111" s="19"/>
      <c r="Q111" s="19"/>
    </row>
    <row r="112" spans="1:17" ht="28.8">
      <c r="A112" s="19" t="s">
        <v>687</v>
      </c>
      <c r="B112" s="19" t="s">
        <v>581</v>
      </c>
      <c r="C112" s="19" t="s">
        <v>562</v>
      </c>
      <c r="D112" s="19" t="s">
        <v>622</v>
      </c>
      <c r="E112" s="19">
        <v>5.75</v>
      </c>
      <c r="F112" s="21">
        <v>46384</v>
      </c>
      <c r="G112" s="19" t="s">
        <v>446</v>
      </c>
      <c r="H112" s="19" t="s">
        <v>574</v>
      </c>
      <c r="I112" s="19" t="s">
        <v>623</v>
      </c>
      <c r="J112" s="19"/>
      <c r="K112" s="19"/>
      <c r="L112" s="19"/>
      <c r="M112" s="19"/>
      <c r="N112" s="19"/>
      <c r="O112" s="19"/>
      <c r="P112" s="19"/>
      <c r="Q112" s="19"/>
    </row>
    <row r="113" spans="1:17" ht="28.8">
      <c r="A113" s="19" t="s">
        <v>687</v>
      </c>
      <c r="B113" s="19" t="s">
        <v>581</v>
      </c>
      <c r="C113" s="19" t="s">
        <v>562</v>
      </c>
      <c r="D113" s="19" t="s">
        <v>622</v>
      </c>
      <c r="E113" s="19">
        <v>3.125</v>
      </c>
      <c r="F113" s="20">
        <v>11628</v>
      </c>
      <c r="G113" s="19" t="s">
        <v>574</v>
      </c>
      <c r="H113" s="19" t="s">
        <v>569</v>
      </c>
      <c r="I113" s="19" t="s">
        <v>623</v>
      </c>
      <c r="J113" s="19"/>
      <c r="K113" s="19"/>
      <c r="L113" s="19"/>
      <c r="M113" s="19"/>
      <c r="N113" s="19"/>
      <c r="O113" s="19"/>
      <c r="P113" s="19"/>
      <c r="Q113" s="19"/>
    </row>
    <row r="114" spans="1:17" ht="28.8">
      <c r="A114" s="19" t="s">
        <v>687</v>
      </c>
      <c r="B114" s="19" t="s">
        <v>581</v>
      </c>
      <c r="C114" s="19" t="s">
        <v>562</v>
      </c>
      <c r="D114" s="19" t="s">
        <v>622</v>
      </c>
      <c r="E114" s="19">
        <v>6.375</v>
      </c>
      <c r="F114" s="20">
        <v>13667</v>
      </c>
      <c r="G114" s="19" t="s">
        <v>14</v>
      </c>
      <c r="H114" s="19" t="s">
        <v>574</v>
      </c>
      <c r="I114" s="19" t="s">
        <v>623</v>
      </c>
      <c r="J114" s="19"/>
      <c r="K114" s="19"/>
      <c r="L114" s="19"/>
      <c r="M114" s="19"/>
      <c r="N114" s="19"/>
      <c r="O114" s="19"/>
      <c r="P114" s="19"/>
      <c r="Q114" s="19"/>
    </row>
    <row r="115" spans="1:17" ht="43.2">
      <c r="A115" s="19" t="s">
        <v>688</v>
      </c>
      <c r="B115" s="19" t="s">
        <v>581</v>
      </c>
      <c r="C115" s="19" t="s">
        <v>562</v>
      </c>
      <c r="D115" s="19" t="s">
        <v>627</v>
      </c>
      <c r="E115" s="19">
        <v>5.75</v>
      </c>
      <c r="F115" s="21">
        <v>46203</v>
      </c>
      <c r="G115" s="19" t="s">
        <v>574</v>
      </c>
      <c r="H115" s="19" t="s">
        <v>574</v>
      </c>
      <c r="I115" s="19" t="s">
        <v>689</v>
      </c>
      <c r="J115" s="19"/>
      <c r="K115" s="19"/>
      <c r="L115" s="19"/>
      <c r="M115" s="19"/>
      <c r="N115" s="19"/>
      <c r="O115" s="19"/>
      <c r="P115" s="19"/>
      <c r="Q115" s="19"/>
    </row>
    <row r="116" spans="1:17">
      <c r="A116" s="19" t="s">
        <v>637</v>
      </c>
      <c r="B116" s="19" t="s">
        <v>581</v>
      </c>
      <c r="C116" s="19" t="s">
        <v>562</v>
      </c>
      <c r="D116" s="19" t="s">
        <v>606</v>
      </c>
      <c r="E116" s="19">
        <v>5.375</v>
      </c>
      <c r="F116" s="21">
        <v>46356</v>
      </c>
      <c r="G116" s="19" t="s">
        <v>574</v>
      </c>
      <c r="H116" s="19" t="s">
        <v>574</v>
      </c>
      <c r="I116" s="19" t="s">
        <v>625</v>
      </c>
      <c r="J116" s="19"/>
      <c r="K116" s="19"/>
      <c r="L116" s="19"/>
      <c r="M116" s="19"/>
      <c r="N116" s="19"/>
      <c r="O116" s="19"/>
      <c r="P116" s="19"/>
      <c r="Q116" s="19"/>
    </row>
    <row r="117" spans="1:17">
      <c r="A117" s="19" t="s">
        <v>637</v>
      </c>
      <c r="B117" s="19" t="s">
        <v>581</v>
      </c>
      <c r="C117" s="19" t="s">
        <v>562</v>
      </c>
      <c r="D117" s="19" t="s">
        <v>606</v>
      </c>
      <c r="E117" s="19">
        <v>6</v>
      </c>
      <c r="F117" s="20">
        <v>14671</v>
      </c>
      <c r="G117" s="19" t="s">
        <v>14</v>
      </c>
      <c r="H117" s="19" t="s">
        <v>574</v>
      </c>
      <c r="I117" s="19" t="s">
        <v>625</v>
      </c>
      <c r="J117" s="19"/>
      <c r="K117" s="19"/>
      <c r="L117" s="19"/>
      <c r="M117" s="19"/>
      <c r="N117" s="19"/>
      <c r="O117" s="19"/>
      <c r="P117" s="19"/>
      <c r="Q117" s="19"/>
    </row>
    <row r="118" spans="1:17">
      <c r="A118" s="19" t="s">
        <v>690</v>
      </c>
      <c r="B118" s="19" t="s">
        <v>581</v>
      </c>
      <c r="C118" s="19" t="s">
        <v>562</v>
      </c>
      <c r="D118" s="19" t="s">
        <v>606</v>
      </c>
      <c r="E118" s="19">
        <v>2</v>
      </c>
      <c r="F118" s="21">
        <v>46140</v>
      </c>
      <c r="G118" s="19" t="s">
        <v>446</v>
      </c>
      <c r="H118" s="19" t="s">
        <v>569</v>
      </c>
      <c r="I118" s="19" t="s">
        <v>625</v>
      </c>
      <c r="J118" s="19"/>
      <c r="K118" s="19"/>
      <c r="L118" s="19"/>
      <c r="M118" s="19"/>
      <c r="N118" s="19"/>
      <c r="O118" s="19"/>
      <c r="P118" s="19"/>
      <c r="Q118" s="19"/>
    </row>
    <row r="119" spans="1:17">
      <c r="A119" s="19" t="s">
        <v>690</v>
      </c>
      <c r="B119" s="19" t="s">
        <v>581</v>
      </c>
      <c r="C119" s="19" t="s">
        <v>562</v>
      </c>
      <c r="D119" s="19" t="s">
        <v>606</v>
      </c>
      <c r="E119" s="19">
        <v>5.25</v>
      </c>
      <c r="F119" s="21">
        <v>46325</v>
      </c>
      <c r="G119" s="19" t="s">
        <v>574</v>
      </c>
      <c r="H119" s="19" t="s">
        <v>574</v>
      </c>
      <c r="I119" s="19" t="s">
        <v>625</v>
      </c>
      <c r="J119" s="19"/>
      <c r="K119" s="19"/>
      <c r="L119" s="19"/>
      <c r="M119" s="19"/>
      <c r="N119" s="19"/>
      <c r="O119" s="19"/>
      <c r="P119" s="19"/>
      <c r="Q119" s="19"/>
    </row>
    <row r="120" spans="1:17">
      <c r="A120" s="19" t="s">
        <v>690</v>
      </c>
      <c r="B120" s="19" t="s">
        <v>581</v>
      </c>
      <c r="C120" s="19" t="s">
        <v>562</v>
      </c>
      <c r="D120" s="19" t="s">
        <v>606</v>
      </c>
      <c r="E120" s="19">
        <v>6.625</v>
      </c>
      <c r="F120" s="20">
        <v>12206</v>
      </c>
      <c r="G120" s="19" t="s">
        <v>574</v>
      </c>
      <c r="H120" s="19" t="s">
        <v>564</v>
      </c>
      <c r="I120" s="19" t="s">
        <v>625</v>
      </c>
      <c r="J120" s="19"/>
      <c r="K120" s="19"/>
      <c r="L120" s="19"/>
      <c r="M120" s="19"/>
      <c r="N120" s="19"/>
      <c r="O120" s="19"/>
      <c r="P120" s="19"/>
      <c r="Q120" s="19"/>
    </row>
    <row r="121" spans="1:17">
      <c r="A121" s="19" t="s">
        <v>691</v>
      </c>
      <c r="B121" s="19" t="s">
        <v>581</v>
      </c>
      <c r="C121" s="19" t="s">
        <v>562</v>
      </c>
      <c r="D121" s="19" t="s">
        <v>609</v>
      </c>
      <c r="E121" s="19">
        <v>1</v>
      </c>
      <c r="F121" s="21">
        <v>46386</v>
      </c>
      <c r="G121" s="19" t="s">
        <v>574</v>
      </c>
      <c r="H121" s="19" t="s">
        <v>569</v>
      </c>
      <c r="I121" s="19" t="s">
        <v>686</v>
      </c>
      <c r="J121" s="19"/>
      <c r="K121" s="19"/>
      <c r="L121" s="19"/>
      <c r="M121" s="19"/>
      <c r="N121" s="19"/>
      <c r="O121" s="19"/>
      <c r="P121" s="19"/>
      <c r="Q121" s="19"/>
    </row>
    <row r="122" spans="1:17" ht="28.8">
      <c r="A122" s="19" t="s">
        <v>691</v>
      </c>
      <c r="B122" s="19" t="s">
        <v>581</v>
      </c>
      <c r="C122" s="19" t="s">
        <v>562</v>
      </c>
      <c r="D122" s="19" t="s">
        <v>609</v>
      </c>
      <c r="E122" s="19">
        <v>1.75</v>
      </c>
      <c r="F122" s="20">
        <v>19238</v>
      </c>
      <c r="G122" s="19" t="s">
        <v>589</v>
      </c>
      <c r="H122" s="19" t="s">
        <v>569</v>
      </c>
      <c r="I122" s="19" t="s">
        <v>686</v>
      </c>
      <c r="J122" s="19"/>
      <c r="K122" s="19"/>
      <c r="L122" s="19"/>
      <c r="M122" s="19"/>
      <c r="N122" s="19"/>
      <c r="O122" s="19"/>
      <c r="P122" s="19"/>
      <c r="Q122" s="19"/>
    </row>
    <row r="123" spans="1:17" ht="28.8">
      <c r="A123" s="19" t="s">
        <v>692</v>
      </c>
      <c r="B123" s="19" t="s">
        <v>581</v>
      </c>
      <c r="C123" s="19" t="s">
        <v>562</v>
      </c>
      <c r="D123" s="19" t="s">
        <v>595</v>
      </c>
      <c r="E123" s="19">
        <v>6</v>
      </c>
      <c r="F123" s="21">
        <v>46385</v>
      </c>
      <c r="G123" s="19" t="s">
        <v>574</v>
      </c>
      <c r="H123" s="19" t="s">
        <v>574</v>
      </c>
      <c r="I123" s="19" t="s">
        <v>693</v>
      </c>
      <c r="J123" s="19"/>
      <c r="K123" s="19"/>
      <c r="L123" s="19"/>
      <c r="M123" s="19"/>
      <c r="N123" s="19"/>
      <c r="O123" s="19"/>
      <c r="P123" s="19"/>
      <c r="Q123" s="19"/>
    </row>
    <row r="124" spans="1:17" ht="28.8">
      <c r="A124" s="19" t="s">
        <v>692</v>
      </c>
      <c r="B124" s="19" t="s">
        <v>581</v>
      </c>
      <c r="C124" s="19" t="s">
        <v>562</v>
      </c>
      <c r="D124" s="19" t="s">
        <v>595</v>
      </c>
      <c r="E124" s="19">
        <v>5.5</v>
      </c>
      <c r="F124" s="20">
        <v>12055</v>
      </c>
      <c r="G124" s="19" t="s">
        <v>574</v>
      </c>
      <c r="H124" s="19" t="s">
        <v>574</v>
      </c>
      <c r="I124" s="19" t="s">
        <v>693</v>
      </c>
      <c r="J124" s="19"/>
      <c r="K124" s="19"/>
      <c r="L124" s="19"/>
      <c r="M124" s="19"/>
      <c r="N124" s="19"/>
      <c r="O124" s="19"/>
      <c r="P124" s="19"/>
      <c r="Q124" s="19"/>
    </row>
    <row r="125" spans="1:17" ht="28.8">
      <c r="A125" s="19" t="s">
        <v>694</v>
      </c>
      <c r="B125" s="19" t="s">
        <v>581</v>
      </c>
      <c r="C125" s="19" t="s">
        <v>677</v>
      </c>
      <c r="D125" s="19" t="s">
        <v>677</v>
      </c>
      <c r="E125" s="19">
        <v>6</v>
      </c>
      <c r="F125" s="22">
        <v>47094</v>
      </c>
      <c r="G125" s="19" t="s">
        <v>574</v>
      </c>
      <c r="H125" s="19" t="s">
        <v>564</v>
      </c>
      <c r="I125" s="19" t="s">
        <v>695</v>
      </c>
      <c r="J125" s="19"/>
      <c r="K125" s="19"/>
      <c r="L125" s="19"/>
      <c r="M125" s="19"/>
      <c r="N125" s="19"/>
      <c r="O125" s="19"/>
      <c r="P125" s="19"/>
      <c r="Q125" s="19"/>
    </row>
    <row r="126" spans="1:17" ht="28.8">
      <c r="A126" s="19" t="s">
        <v>694</v>
      </c>
      <c r="B126" s="19" t="s">
        <v>581</v>
      </c>
      <c r="C126" s="19" t="s">
        <v>677</v>
      </c>
      <c r="D126" s="19" t="s">
        <v>677</v>
      </c>
      <c r="E126" s="19">
        <v>1</v>
      </c>
      <c r="F126" s="22">
        <v>11719</v>
      </c>
      <c r="G126" s="19" t="s">
        <v>574</v>
      </c>
      <c r="H126" s="19" t="s">
        <v>569</v>
      </c>
      <c r="I126" s="19" t="s">
        <v>695</v>
      </c>
      <c r="J126" s="19"/>
      <c r="K126" s="19"/>
      <c r="L126" s="19"/>
      <c r="M126" s="19"/>
      <c r="N126" s="19"/>
      <c r="O126" s="19"/>
      <c r="P126" s="19"/>
      <c r="Q126" s="19"/>
    </row>
    <row r="127" spans="1:17" ht="28.8">
      <c r="A127" s="19" t="s">
        <v>694</v>
      </c>
      <c r="B127" s="19" t="s">
        <v>581</v>
      </c>
      <c r="C127" s="19" t="s">
        <v>677</v>
      </c>
      <c r="D127" s="19" t="s">
        <v>677</v>
      </c>
      <c r="E127" s="19">
        <v>4.25</v>
      </c>
      <c r="F127" s="22">
        <v>11847</v>
      </c>
      <c r="G127" s="19" t="s">
        <v>574</v>
      </c>
      <c r="H127" s="19" t="s">
        <v>574</v>
      </c>
      <c r="I127" s="19" t="s">
        <v>695</v>
      </c>
      <c r="J127" s="19"/>
      <c r="K127" s="19"/>
      <c r="L127" s="19"/>
      <c r="M127" s="19"/>
      <c r="N127" s="19"/>
      <c r="O127" s="19"/>
      <c r="P127" s="19"/>
      <c r="Q127" s="19"/>
    </row>
    <row r="128" spans="1:17" ht="28.8">
      <c r="A128" s="19" t="s">
        <v>694</v>
      </c>
      <c r="B128" s="19" t="s">
        <v>581</v>
      </c>
      <c r="C128" s="19" t="s">
        <v>677</v>
      </c>
      <c r="D128" s="19" t="s">
        <v>677</v>
      </c>
      <c r="E128" s="19">
        <v>3.25</v>
      </c>
      <c r="F128" s="22">
        <v>12085</v>
      </c>
      <c r="G128" s="19" t="s">
        <v>574</v>
      </c>
      <c r="H128" s="19" t="s">
        <v>574</v>
      </c>
      <c r="I128" s="19" t="s">
        <v>695</v>
      </c>
      <c r="J128" s="19"/>
      <c r="K128" s="19"/>
      <c r="L128" s="19"/>
      <c r="M128" s="19"/>
      <c r="N128" s="19"/>
      <c r="O128" s="19"/>
      <c r="P128" s="19"/>
      <c r="Q128" s="19"/>
    </row>
    <row r="129" spans="1:17">
      <c r="A129" s="19" t="s">
        <v>696</v>
      </c>
      <c r="B129" s="19" t="s">
        <v>576</v>
      </c>
      <c r="C129" s="19" t="s">
        <v>562</v>
      </c>
      <c r="D129" s="19" t="s">
        <v>598</v>
      </c>
      <c r="E129" s="19">
        <v>0.875</v>
      </c>
      <c r="F129" s="20">
        <v>11475</v>
      </c>
      <c r="G129" s="19" t="s">
        <v>574</v>
      </c>
      <c r="H129" s="19" t="s">
        <v>569</v>
      </c>
      <c r="I129" s="19" t="s">
        <v>697</v>
      </c>
      <c r="J129" s="19"/>
      <c r="K129" s="19"/>
      <c r="L129" s="19"/>
      <c r="M129" s="19"/>
      <c r="N129" s="19"/>
      <c r="O129" s="19"/>
      <c r="P129" s="19"/>
      <c r="Q129" s="19"/>
    </row>
    <row r="130" spans="1:17">
      <c r="A130" s="19" t="s">
        <v>698</v>
      </c>
      <c r="B130" s="19" t="s">
        <v>576</v>
      </c>
      <c r="C130" s="19" t="s">
        <v>562</v>
      </c>
      <c r="D130" s="19" t="s">
        <v>606</v>
      </c>
      <c r="E130" s="19">
        <v>5.375</v>
      </c>
      <c r="F130" s="21">
        <v>46051</v>
      </c>
      <c r="G130" s="19" t="s">
        <v>574</v>
      </c>
      <c r="H130" s="19" t="s">
        <v>574</v>
      </c>
      <c r="I130" s="19" t="s">
        <v>625</v>
      </c>
      <c r="J130" s="19"/>
      <c r="K130" s="19"/>
      <c r="L130" s="19"/>
      <c r="M130" s="19"/>
      <c r="N130" s="19"/>
      <c r="O130" s="19"/>
      <c r="P130" s="19"/>
      <c r="Q130" s="19"/>
    </row>
    <row r="131" spans="1:17">
      <c r="A131" s="19" t="s">
        <v>698</v>
      </c>
      <c r="B131" s="19" t="s">
        <v>576</v>
      </c>
      <c r="C131" s="19" t="s">
        <v>562</v>
      </c>
      <c r="D131" s="19" t="s">
        <v>606</v>
      </c>
      <c r="E131" s="19">
        <v>4.25</v>
      </c>
      <c r="F131" s="20">
        <v>11871</v>
      </c>
      <c r="G131" s="19" t="s">
        <v>574</v>
      </c>
      <c r="H131" s="19" t="s">
        <v>574</v>
      </c>
      <c r="I131" s="19" t="s">
        <v>625</v>
      </c>
      <c r="J131" s="19"/>
      <c r="K131" s="19"/>
      <c r="L131" s="19"/>
      <c r="M131" s="19"/>
      <c r="N131" s="19"/>
      <c r="O131" s="19"/>
      <c r="P131" s="19"/>
      <c r="Q131" s="19"/>
    </row>
    <row r="132" spans="1:17">
      <c r="A132" s="19" t="s">
        <v>698</v>
      </c>
      <c r="B132" s="19" t="s">
        <v>576</v>
      </c>
      <c r="C132" s="19" t="s">
        <v>562</v>
      </c>
      <c r="D132" s="19" t="s">
        <v>606</v>
      </c>
      <c r="E132" s="19">
        <v>3.5</v>
      </c>
      <c r="F132" s="20">
        <v>17624</v>
      </c>
      <c r="G132" s="19" t="s">
        <v>14</v>
      </c>
      <c r="H132" s="19" t="s">
        <v>574</v>
      </c>
      <c r="I132" s="19" t="s">
        <v>625</v>
      </c>
      <c r="J132" s="19"/>
      <c r="K132" s="19"/>
      <c r="L132" s="19"/>
      <c r="M132" s="19"/>
      <c r="N132" s="19"/>
      <c r="O132" s="19"/>
      <c r="P132" s="19"/>
      <c r="Q132" s="19"/>
    </row>
    <row r="133" spans="1:17" ht="28.8">
      <c r="A133" s="19" t="s">
        <v>699</v>
      </c>
      <c r="B133" s="19" t="s">
        <v>576</v>
      </c>
      <c r="C133" s="19" t="s">
        <v>562</v>
      </c>
      <c r="D133" s="19" t="s">
        <v>622</v>
      </c>
      <c r="E133" s="19">
        <v>1.75</v>
      </c>
      <c r="F133" s="21">
        <v>46112</v>
      </c>
      <c r="G133" s="19" t="s">
        <v>574</v>
      </c>
      <c r="H133" s="19" t="s">
        <v>569</v>
      </c>
      <c r="I133" s="19" t="s">
        <v>623</v>
      </c>
      <c r="J133" s="19"/>
      <c r="K133" s="19"/>
      <c r="L133" s="19"/>
      <c r="M133" s="19"/>
      <c r="N133" s="19"/>
      <c r="O133" s="19"/>
      <c r="P133" s="19"/>
      <c r="Q133" s="19"/>
    </row>
    <row r="134" spans="1:17" ht="28.8">
      <c r="A134" s="19" t="s">
        <v>699</v>
      </c>
      <c r="B134" s="19" t="s">
        <v>576</v>
      </c>
      <c r="C134" s="19" t="s">
        <v>562</v>
      </c>
      <c r="D134" s="19" t="s">
        <v>622</v>
      </c>
      <c r="E134" s="19">
        <v>2.25</v>
      </c>
      <c r="F134" s="20">
        <v>14305</v>
      </c>
      <c r="G134" s="19" t="s">
        <v>14</v>
      </c>
      <c r="H134" s="19" t="s">
        <v>569</v>
      </c>
      <c r="I134" s="19" t="s">
        <v>623</v>
      </c>
      <c r="J134" s="19"/>
      <c r="K134" s="19"/>
      <c r="L134" s="19"/>
      <c r="M134" s="19"/>
      <c r="N134" s="19"/>
      <c r="O134" s="19"/>
      <c r="P134" s="19"/>
      <c r="Q134" s="19"/>
    </row>
    <row r="135" spans="1:17" ht="28.8">
      <c r="A135" s="19" t="s">
        <v>700</v>
      </c>
      <c r="B135" s="19" t="s">
        <v>576</v>
      </c>
      <c r="C135" s="19" t="s">
        <v>562</v>
      </c>
      <c r="D135" s="19" t="s">
        <v>573</v>
      </c>
      <c r="E135" s="19">
        <v>2</v>
      </c>
      <c r="F135" s="20">
        <v>11841</v>
      </c>
      <c r="G135" s="19" t="s">
        <v>574</v>
      </c>
      <c r="H135" s="19" t="s">
        <v>569</v>
      </c>
      <c r="I135" s="19" t="s">
        <v>588</v>
      </c>
      <c r="J135" s="19"/>
      <c r="K135" s="19"/>
      <c r="L135" s="19"/>
      <c r="M135" s="19"/>
      <c r="N135" s="19"/>
      <c r="O135" s="19"/>
      <c r="P135" s="19"/>
      <c r="Q135" s="19"/>
    </row>
    <row r="136" spans="1:17" ht="28.8">
      <c r="A136" s="19" t="s">
        <v>701</v>
      </c>
      <c r="B136" s="19" t="s">
        <v>576</v>
      </c>
      <c r="C136" s="19" t="s">
        <v>562</v>
      </c>
      <c r="D136" s="19" t="s">
        <v>617</v>
      </c>
      <c r="E136" s="19">
        <v>1.5</v>
      </c>
      <c r="F136" s="21">
        <v>46110</v>
      </c>
      <c r="G136" s="19" t="s">
        <v>574</v>
      </c>
      <c r="H136" s="19" t="s">
        <v>569</v>
      </c>
      <c r="I136" s="19" t="s">
        <v>634</v>
      </c>
      <c r="J136" s="19"/>
      <c r="K136" s="19"/>
      <c r="L136" s="19"/>
      <c r="M136" s="19"/>
      <c r="N136" s="19"/>
      <c r="O136" s="19"/>
      <c r="P136" s="19"/>
      <c r="Q136" s="19"/>
    </row>
    <row r="137" spans="1:17" ht="28.8">
      <c r="A137" s="19" t="s">
        <v>701</v>
      </c>
      <c r="B137" s="19" t="s">
        <v>576</v>
      </c>
      <c r="C137" s="19" t="s">
        <v>562</v>
      </c>
      <c r="D137" s="19" t="s">
        <v>617</v>
      </c>
      <c r="E137" s="19">
        <v>2.125</v>
      </c>
      <c r="F137" s="20">
        <v>13575</v>
      </c>
      <c r="G137" s="19" t="s">
        <v>14</v>
      </c>
      <c r="H137" s="19" t="s">
        <v>569</v>
      </c>
      <c r="I137" s="19" t="s">
        <v>634</v>
      </c>
      <c r="J137" s="19"/>
      <c r="K137" s="19"/>
      <c r="L137" s="19"/>
      <c r="M137" s="19"/>
      <c r="N137" s="19"/>
      <c r="O137" s="19"/>
      <c r="P137" s="19"/>
      <c r="Q137" s="19"/>
    </row>
    <row r="138" spans="1:17" ht="28.8">
      <c r="A138" s="19" t="s">
        <v>702</v>
      </c>
      <c r="B138" s="19" t="s">
        <v>576</v>
      </c>
      <c r="C138" s="19" t="s">
        <v>562</v>
      </c>
      <c r="D138" s="19" t="s">
        <v>580</v>
      </c>
      <c r="E138" s="19">
        <v>2.875</v>
      </c>
      <c r="F138" s="20">
        <v>29007</v>
      </c>
      <c r="G138" s="19" t="s">
        <v>589</v>
      </c>
      <c r="H138" s="19" t="s">
        <v>569</v>
      </c>
      <c r="I138" s="19" t="s">
        <v>583</v>
      </c>
      <c r="J138" s="19"/>
      <c r="K138" s="19"/>
      <c r="L138" s="19"/>
      <c r="M138" s="19"/>
      <c r="N138" s="19"/>
      <c r="O138" s="19"/>
      <c r="P138" s="19"/>
      <c r="Q138" s="19"/>
    </row>
    <row r="139" spans="1:17" ht="28.8">
      <c r="A139" s="19" t="s">
        <v>702</v>
      </c>
      <c r="B139" s="19" t="s">
        <v>576</v>
      </c>
      <c r="C139" s="19" t="s">
        <v>562</v>
      </c>
      <c r="D139" s="19" t="s">
        <v>580</v>
      </c>
      <c r="E139" s="19">
        <v>3.875</v>
      </c>
      <c r="F139" s="20">
        <v>19937</v>
      </c>
      <c r="G139" s="19" t="s">
        <v>589</v>
      </c>
      <c r="H139" s="19" t="s">
        <v>574</v>
      </c>
      <c r="I139" s="19" t="s">
        <v>583</v>
      </c>
      <c r="J139" s="19"/>
      <c r="K139" s="19"/>
      <c r="L139" s="19"/>
      <c r="M139" s="19"/>
      <c r="N139" s="19"/>
      <c r="O139" s="19"/>
      <c r="P139" s="19"/>
      <c r="Q139" s="19"/>
    </row>
    <row r="140" spans="1:17">
      <c r="A140" s="19" t="s">
        <v>703</v>
      </c>
      <c r="B140" s="19" t="s">
        <v>576</v>
      </c>
      <c r="C140" s="19" t="s">
        <v>562</v>
      </c>
      <c r="D140" s="19" t="s">
        <v>617</v>
      </c>
      <c r="E140" s="19">
        <v>0.05</v>
      </c>
      <c r="F140" s="21">
        <v>46108</v>
      </c>
      <c r="G140" s="19" t="s">
        <v>446</v>
      </c>
      <c r="H140" s="19" t="s">
        <v>569</v>
      </c>
      <c r="I140" s="19" t="s">
        <v>618</v>
      </c>
      <c r="J140" s="19"/>
      <c r="K140" s="19"/>
      <c r="L140" s="19"/>
      <c r="M140" s="19"/>
      <c r="N140" s="19"/>
      <c r="O140" s="19"/>
      <c r="P140" s="19"/>
      <c r="Q140" s="19"/>
    </row>
    <row r="141" spans="1:17">
      <c r="A141" s="19" t="s">
        <v>704</v>
      </c>
      <c r="B141" s="19" t="s">
        <v>576</v>
      </c>
      <c r="C141" s="19" t="s">
        <v>562</v>
      </c>
      <c r="D141" s="19" t="s">
        <v>617</v>
      </c>
      <c r="E141" s="19">
        <v>1.875</v>
      </c>
      <c r="F141" s="21">
        <v>46081</v>
      </c>
      <c r="G141" s="19" t="s">
        <v>446</v>
      </c>
      <c r="H141" s="19" t="s">
        <v>569</v>
      </c>
      <c r="I141" s="19" t="s">
        <v>705</v>
      </c>
      <c r="J141" s="19"/>
      <c r="K141" s="19"/>
      <c r="L141" s="19"/>
      <c r="M141" s="19"/>
      <c r="N141" s="19"/>
      <c r="O141" s="19"/>
      <c r="P141" s="19"/>
      <c r="Q141" s="19"/>
    </row>
    <row r="142" spans="1:17">
      <c r="A142" s="19" t="s">
        <v>704</v>
      </c>
      <c r="B142" s="19" t="s">
        <v>576</v>
      </c>
      <c r="C142" s="19" t="s">
        <v>562</v>
      </c>
      <c r="D142" s="19" t="s">
        <v>617</v>
      </c>
      <c r="E142" s="19">
        <v>2.25</v>
      </c>
      <c r="F142" s="21">
        <v>46233</v>
      </c>
      <c r="G142" s="19" t="s">
        <v>574</v>
      </c>
      <c r="H142" s="19" t="s">
        <v>569</v>
      </c>
      <c r="I142" s="19" t="s">
        <v>705</v>
      </c>
      <c r="J142" s="19"/>
      <c r="K142" s="19"/>
      <c r="L142" s="19"/>
      <c r="M142" s="19"/>
      <c r="N142" s="19"/>
      <c r="O142" s="19"/>
      <c r="P142" s="19"/>
      <c r="Q142" s="19"/>
    </row>
    <row r="143" spans="1:17">
      <c r="A143" s="19" t="s">
        <v>706</v>
      </c>
      <c r="B143" s="19" t="s">
        <v>576</v>
      </c>
      <c r="C143" s="19" t="s">
        <v>562</v>
      </c>
      <c r="D143" s="19" t="s">
        <v>573</v>
      </c>
      <c r="E143" s="19">
        <v>1.25</v>
      </c>
      <c r="F143" s="21">
        <v>46109</v>
      </c>
      <c r="G143" s="19" t="s">
        <v>446</v>
      </c>
      <c r="H143" s="19" t="s">
        <v>569</v>
      </c>
      <c r="I143" s="19" t="s">
        <v>586</v>
      </c>
      <c r="J143" s="19"/>
      <c r="K143" s="19"/>
      <c r="L143" s="19"/>
      <c r="M143" s="19"/>
      <c r="N143" s="19"/>
      <c r="O143" s="19"/>
      <c r="P143" s="19"/>
      <c r="Q143" s="19"/>
    </row>
    <row r="144" spans="1:17">
      <c r="A144" s="19" t="s">
        <v>706</v>
      </c>
      <c r="B144" s="19" t="s">
        <v>576</v>
      </c>
      <c r="C144" s="19" t="s">
        <v>562</v>
      </c>
      <c r="D144" s="19" t="s">
        <v>573</v>
      </c>
      <c r="E144" s="19">
        <v>1.625</v>
      </c>
      <c r="F144" s="21">
        <v>46112</v>
      </c>
      <c r="G144" s="19" t="s">
        <v>574</v>
      </c>
      <c r="H144" s="19" t="s">
        <v>569</v>
      </c>
      <c r="I144" s="19" t="s">
        <v>586</v>
      </c>
      <c r="J144" s="19"/>
      <c r="K144" s="19"/>
      <c r="L144" s="19"/>
      <c r="M144" s="19"/>
      <c r="N144" s="19"/>
      <c r="O144" s="19"/>
      <c r="P144" s="19"/>
      <c r="Q144" s="19"/>
    </row>
    <row r="145" spans="1:17">
      <c r="A145" s="19" t="s">
        <v>707</v>
      </c>
      <c r="B145" s="19" t="s">
        <v>576</v>
      </c>
      <c r="C145" s="19" t="s">
        <v>562</v>
      </c>
      <c r="D145" s="19" t="s">
        <v>617</v>
      </c>
      <c r="E145" s="19">
        <v>2.875</v>
      </c>
      <c r="F145" s="21">
        <v>46109</v>
      </c>
      <c r="G145" s="19" t="s">
        <v>446</v>
      </c>
      <c r="H145" s="19" t="s">
        <v>569</v>
      </c>
      <c r="I145" s="19" t="s">
        <v>708</v>
      </c>
      <c r="J145" s="19"/>
      <c r="K145" s="19"/>
      <c r="L145" s="19"/>
      <c r="M145" s="19"/>
      <c r="N145" s="19"/>
      <c r="O145" s="19"/>
      <c r="P145" s="19"/>
      <c r="Q145" s="19"/>
    </row>
    <row r="146" spans="1:17" ht="28.8">
      <c r="A146" s="19" t="s">
        <v>709</v>
      </c>
      <c r="B146" s="19" t="s">
        <v>576</v>
      </c>
      <c r="C146" s="19" t="s">
        <v>677</v>
      </c>
      <c r="D146" s="19" t="s">
        <v>677</v>
      </c>
      <c r="E146" s="19">
        <v>2.1</v>
      </c>
      <c r="F146" s="22">
        <v>47437</v>
      </c>
      <c r="G146" s="19" t="s">
        <v>574</v>
      </c>
      <c r="H146" s="19" t="s">
        <v>569</v>
      </c>
      <c r="I146" s="19" t="s">
        <v>710</v>
      </c>
      <c r="J146" s="19"/>
      <c r="K146" s="19"/>
      <c r="L146" s="19"/>
      <c r="M146" s="19"/>
      <c r="N146" s="19"/>
      <c r="O146" s="19"/>
      <c r="P146" s="19"/>
      <c r="Q146" s="19"/>
    </row>
    <row r="147" spans="1:17" ht="28.8">
      <c r="A147" s="19" t="s">
        <v>709</v>
      </c>
      <c r="B147" s="19" t="s">
        <v>576</v>
      </c>
      <c r="C147" s="19" t="s">
        <v>677</v>
      </c>
      <c r="D147" s="19" t="s">
        <v>677</v>
      </c>
      <c r="E147" s="19">
        <v>6.25</v>
      </c>
      <c r="F147" s="22">
        <v>10962</v>
      </c>
      <c r="G147" s="19" t="s">
        <v>574</v>
      </c>
      <c r="H147" s="19" t="s">
        <v>564</v>
      </c>
      <c r="I147" s="19" t="s">
        <v>710</v>
      </c>
      <c r="J147" s="19"/>
      <c r="K147" s="19"/>
      <c r="L147" s="19"/>
      <c r="M147" s="19"/>
      <c r="N147" s="19"/>
      <c r="O147" s="19"/>
      <c r="P147" s="19"/>
      <c r="Q147" s="19"/>
    </row>
    <row r="148" spans="1:17" ht="28.8">
      <c r="A148" s="19" t="s">
        <v>709</v>
      </c>
      <c r="B148" s="19" t="s">
        <v>576</v>
      </c>
      <c r="C148" s="19" t="s">
        <v>677</v>
      </c>
      <c r="D148" s="19" t="s">
        <v>677</v>
      </c>
      <c r="E148" s="19">
        <v>4.75</v>
      </c>
      <c r="F148" s="22">
        <v>14796</v>
      </c>
      <c r="G148" s="19" t="s">
        <v>14</v>
      </c>
      <c r="H148" s="19" t="s">
        <v>574</v>
      </c>
      <c r="I148" s="19" t="s">
        <v>710</v>
      </c>
      <c r="J148" s="19"/>
      <c r="K148" s="19"/>
      <c r="L148" s="19"/>
      <c r="M148" s="19"/>
      <c r="N148" s="19"/>
      <c r="O148" s="19"/>
      <c r="P148" s="19"/>
      <c r="Q148" s="19"/>
    </row>
    <row r="149" spans="1:17" ht="28.8">
      <c r="A149" s="19" t="s">
        <v>709</v>
      </c>
      <c r="B149" s="19" t="s">
        <v>576</v>
      </c>
      <c r="C149" s="19" t="s">
        <v>677</v>
      </c>
      <c r="D149" s="19" t="s">
        <v>677</v>
      </c>
      <c r="E149" s="19">
        <v>1.25</v>
      </c>
      <c r="F149" s="22">
        <v>17852</v>
      </c>
      <c r="G149" s="19" t="s">
        <v>589</v>
      </c>
      <c r="H149" s="19" t="s">
        <v>569</v>
      </c>
      <c r="I149" s="19" t="s">
        <v>710</v>
      </c>
      <c r="J149" s="19"/>
      <c r="K149" s="19"/>
      <c r="L149" s="19"/>
      <c r="M149" s="19"/>
      <c r="N149" s="19"/>
      <c r="O149" s="19"/>
      <c r="P149" s="19"/>
      <c r="Q149" s="19"/>
    </row>
    <row r="150" spans="1:17">
      <c r="A150" s="19" t="s">
        <v>711</v>
      </c>
      <c r="B150" s="19" t="s">
        <v>571</v>
      </c>
      <c r="C150" s="19" t="s">
        <v>562</v>
      </c>
      <c r="D150" s="19" t="s">
        <v>593</v>
      </c>
      <c r="E150" s="19">
        <v>3.25</v>
      </c>
      <c r="F150" s="21">
        <v>46171</v>
      </c>
      <c r="G150" s="19" t="s">
        <v>574</v>
      </c>
      <c r="H150" s="19" t="s">
        <v>574</v>
      </c>
      <c r="I150" s="19" t="s">
        <v>593</v>
      </c>
      <c r="J150" s="19"/>
      <c r="K150" s="19"/>
      <c r="L150" s="19"/>
      <c r="M150" s="19"/>
      <c r="N150" s="19"/>
      <c r="O150" s="19"/>
      <c r="P150" s="19"/>
      <c r="Q150" s="19"/>
    </row>
    <row r="151" spans="1:17">
      <c r="A151" s="19" t="s">
        <v>711</v>
      </c>
      <c r="B151" s="19" t="s">
        <v>571</v>
      </c>
      <c r="C151" s="19" t="s">
        <v>562</v>
      </c>
      <c r="D151" s="19" t="s">
        <v>593</v>
      </c>
      <c r="E151" s="19">
        <v>3.75</v>
      </c>
      <c r="F151" s="21">
        <v>46325</v>
      </c>
      <c r="G151" s="19" t="s">
        <v>574</v>
      </c>
      <c r="H151" s="19" t="s">
        <v>574</v>
      </c>
      <c r="I151" s="19" t="s">
        <v>593</v>
      </c>
      <c r="J151" s="19"/>
      <c r="K151" s="19"/>
      <c r="L151" s="19"/>
      <c r="M151" s="19"/>
      <c r="N151" s="19"/>
      <c r="O151" s="19"/>
      <c r="P151" s="19"/>
      <c r="Q151" s="19"/>
    </row>
    <row r="152" spans="1:17">
      <c r="A152" s="19" t="s">
        <v>712</v>
      </c>
      <c r="B152" s="19" t="s">
        <v>571</v>
      </c>
      <c r="C152" s="19" t="s">
        <v>562</v>
      </c>
      <c r="D152" s="19" t="s">
        <v>606</v>
      </c>
      <c r="E152" s="19">
        <v>5.25</v>
      </c>
      <c r="F152" s="20">
        <v>12298</v>
      </c>
      <c r="G152" s="19" t="s">
        <v>574</v>
      </c>
      <c r="H152" s="19" t="s">
        <v>574</v>
      </c>
      <c r="I152" s="19" t="s">
        <v>625</v>
      </c>
      <c r="J152" s="19"/>
      <c r="K152" s="19"/>
      <c r="L152" s="19"/>
      <c r="M152" s="19"/>
      <c r="N152" s="19"/>
      <c r="O152" s="19"/>
      <c r="P152" s="19"/>
      <c r="Q152" s="19"/>
    </row>
    <row r="153" spans="1:17" ht="28.8">
      <c r="A153" s="19" t="s">
        <v>713</v>
      </c>
      <c r="B153" s="19" t="s">
        <v>571</v>
      </c>
      <c r="C153" s="19" t="s">
        <v>562</v>
      </c>
      <c r="D153" s="19" t="s">
        <v>595</v>
      </c>
      <c r="E153" s="19">
        <v>3.706</v>
      </c>
      <c r="F153" s="21">
        <v>46355</v>
      </c>
      <c r="G153" s="19" t="s">
        <v>574</v>
      </c>
      <c r="H153" s="19" t="s">
        <v>574</v>
      </c>
      <c r="I153" s="19" t="s">
        <v>714</v>
      </c>
      <c r="J153" s="19"/>
      <c r="K153" s="19"/>
      <c r="L153" s="19"/>
      <c r="M153" s="19"/>
      <c r="N153" s="19"/>
      <c r="O153" s="19"/>
      <c r="P153" s="19"/>
      <c r="Q153" s="19"/>
    </row>
    <row r="154" spans="1:17">
      <c r="A154" s="19" t="s">
        <v>715</v>
      </c>
      <c r="B154" s="19" t="s">
        <v>571</v>
      </c>
      <c r="C154" s="19" t="s">
        <v>562</v>
      </c>
      <c r="D154" s="19" t="s">
        <v>617</v>
      </c>
      <c r="E154" s="19">
        <v>1.375</v>
      </c>
      <c r="F154" s="21">
        <v>46142</v>
      </c>
      <c r="G154" s="19" t="s">
        <v>574</v>
      </c>
      <c r="H154" s="19" t="s">
        <v>569</v>
      </c>
      <c r="I154" s="19" t="s">
        <v>716</v>
      </c>
      <c r="J154" s="19"/>
      <c r="K154" s="19"/>
      <c r="L154" s="19"/>
      <c r="M154" s="19"/>
      <c r="N154" s="19"/>
      <c r="O154" s="19"/>
      <c r="P154" s="19"/>
      <c r="Q154" s="19"/>
    </row>
    <row r="155" spans="1:17" ht="28.8">
      <c r="A155" s="19" t="s">
        <v>717</v>
      </c>
      <c r="B155" s="19" t="s">
        <v>571</v>
      </c>
      <c r="C155" s="19" t="s">
        <v>562</v>
      </c>
      <c r="D155" s="19" t="s">
        <v>595</v>
      </c>
      <c r="E155" s="19">
        <v>2.875</v>
      </c>
      <c r="F155" s="21">
        <v>46170</v>
      </c>
      <c r="G155" s="19" t="s">
        <v>446</v>
      </c>
      <c r="H155" s="19" t="s">
        <v>569</v>
      </c>
      <c r="I155" s="19" t="s">
        <v>718</v>
      </c>
      <c r="J155" s="19"/>
      <c r="K155" s="19"/>
      <c r="L155" s="19"/>
      <c r="M155" s="19"/>
      <c r="N155" s="19"/>
      <c r="O155" s="19"/>
      <c r="P155" s="19"/>
      <c r="Q155" s="19"/>
    </row>
    <row r="156" spans="1:17" ht="43.2">
      <c r="A156" s="19" t="s">
        <v>719</v>
      </c>
      <c r="B156" s="19" t="s">
        <v>571</v>
      </c>
      <c r="C156" s="19" t="s">
        <v>562</v>
      </c>
      <c r="D156" s="19" t="s">
        <v>627</v>
      </c>
      <c r="E156" s="19">
        <v>3.5</v>
      </c>
      <c r="F156" s="20">
        <v>12298</v>
      </c>
      <c r="G156" s="19" t="s">
        <v>574</v>
      </c>
      <c r="H156" s="19" t="s">
        <v>574</v>
      </c>
      <c r="I156" s="19" t="s">
        <v>720</v>
      </c>
      <c r="J156" s="19"/>
      <c r="K156" s="19"/>
      <c r="L156" s="19"/>
      <c r="M156" s="19"/>
      <c r="N156" s="19"/>
      <c r="O156" s="19"/>
      <c r="P156" s="19"/>
      <c r="Q156" s="19"/>
    </row>
    <row r="157" spans="1:17">
      <c r="A157" s="19" t="s">
        <v>721</v>
      </c>
      <c r="B157" s="19" t="s">
        <v>571</v>
      </c>
      <c r="C157" s="19" t="s">
        <v>562</v>
      </c>
      <c r="D157" s="19" t="s">
        <v>580</v>
      </c>
      <c r="E157" s="19">
        <v>1.875</v>
      </c>
      <c r="F157" s="20">
        <v>13940</v>
      </c>
      <c r="G157" s="19" t="s">
        <v>14</v>
      </c>
      <c r="H157" s="19" t="s">
        <v>569</v>
      </c>
      <c r="I157" s="19" t="s">
        <v>583</v>
      </c>
      <c r="J157" s="19"/>
      <c r="K157" s="19"/>
      <c r="L157" s="19"/>
      <c r="M157" s="19"/>
      <c r="N157" s="19"/>
      <c r="O157" s="19"/>
      <c r="P157" s="19"/>
      <c r="Q157" s="19"/>
    </row>
    <row r="158" spans="1:17">
      <c r="A158" s="19" t="s">
        <v>722</v>
      </c>
      <c r="B158" s="19" t="s">
        <v>571</v>
      </c>
      <c r="C158" s="19" t="s">
        <v>562</v>
      </c>
      <c r="D158" s="19" t="s">
        <v>617</v>
      </c>
      <c r="E158" s="19">
        <v>3.375</v>
      </c>
      <c r="F158" s="20">
        <v>13394</v>
      </c>
      <c r="G158" s="19" t="s">
        <v>14</v>
      </c>
      <c r="H158" s="19" t="s">
        <v>574</v>
      </c>
      <c r="I158" s="19" t="s">
        <v>723</v>
      </c>
      <c r="J158" s="19"/>
      <c r="K158" s="19"/>
      <c r="L158" s="19"/>
      <c r="M158" s="19"/>
      <c r="N158" s="19"/>
      <c r="O158" s="19"/>
      <c r="P158" s="19"/>
      <c r="Q158" s="19"/>
    </row>
    <row r="159" spans="1:17">
      <c r="A159" s="19" t="s">
        <v>724</v>
      </c>
      <c r="B159" s="19" t="s">
        <v>571</v>
      </c>
      <c r="C159" s="19" t="s">
        <v>562</v>
      </c>
      <c r="D159" s="19" t="s">
        <v>617</v>
      </c>
      <c r="E159" s="19">
        <v>4.125</v>
      </c>
      <c r="F159" s="21">
        <v>46323</v>
      </c>
      <c r="G159" s="19" t="s">
        <v>446</v>
      </c>
      <c r="H159" s="19" t="s">
        <v>574</v>
      </c>
      <c r="I159" s="19" t="s">
        <v>705</v>
      </c>
      <c r="J159" s="19"/>
      <c r="K159" s="19"/>
      <c r="L159" s="19"/>
      <c r="M159" s="19"/>
      <c r="N159" s="19"/>
      <c r="O159" s="19"/>
      <c r="P159" s="19"/>
      <c r="Q159" s="19"/>
    </row>
    <row r="160" spans="1:17">
      <c r="A160" s="19" t="s">
        <v>724</v>
      </c>
      <c r="B160" s="19" t="s">
        <v>571</v>
      </c>
      <c r="C160" s="19" t="s">
        <v>562</v>
      </c>
      <c r="D160" s="19" t="s">
        <v>617</v>
      </c>
      <c r="E160" s="19">
        <v>4.25</v>
      </c>
      <c r="F160" s="21">
        <v>46326</v>
      </c>
      <c r="G160" s="19" t="s">
        <v>574</v>
      </c>
      <c r="H160" s="19" t="s">
        <v>574</v>
      </c>
      <c r="I160" s="19" t="s">
        <v>705</v>
      </c>
      <c r="J160" s="19"/>
      <c r="K160" s="19"/>
      <c r="L160" s="19"/>
      <c r="M160" s="19"/>
      <c r="N160" s="19"/>
      <c r="O160" s="19"/>
      <c r="P160" s="19"/>
      <c r="Q160" s="19"/>
    </row>
    <row r="161" spans="1:17" ht="28.8">
      <c r="A161" s="19" t="s">
        <v>725</v>
      </c>
      <c r="B161" s="19" t="s">
        <v>571</v>
      </c>
      <c r="C161" s="19" t="s">
        <v>562</v>
      </c>
      <c r="D161" s="19" t="s">
        <v>609</v>
      </c>
      <c r="E161" s="19">
        <v>1.375</v>
      </c>
      <c r="F161" s="21">
        <v>46324</v>
      </c>
      <c r="G161" s="19" t="s">
        <v>574</v>
      </c>
      <c r="H161" s="19" t="s">
        <v>569</v>
      </c>
      <c r="I161" s="19" t="s">
        <v>609</v>
      </c>
      <c r="J161" s="19"/>
      <c r="K161" s="19"/>
      <c r="L161" s="19"/>
      <c r="M161" s="19"/>
      <c r="N161" s="19"/>
      <c r="O161" s="19"/>
      <c r="P161" s="19"/>
      <c r="Q161" s="19"/>
    </row>
    <row r="162" spans="1:17" ht="28.8">
      <c r="A162" s="19" t="s">
        <v>725</v>
      </c>
      <c r="B162" s="19" t="s">
        <v>571</v>
      </c>
      <c r="C162" s="19" t="s">
        <v>562</v>
      </c>
      <c r="D162" s="19" t="s">
        <v>609</v>
      </c>
      <c r="E162" s="19">
        <v>1.5349999999999999</v>
      </c>
      <c r="F162" s="20">
        <v>14366</v>
      </c>
      <c r="G162" s="19" t="s">
        <v>14</v>
      </c>
      <c r="H162" s="19" t="s">
        <v>569</v>
      </c>
      <c r="I162" s="19" t="s">
        <v>609</v>
      </c>
      <c r="J162" s="19"/>
      <c r="K162" s="19"/>
      <c r="L162" s="19"/>
      <c r="M162" s="19"/>
      <c r="N162" s="19"/>
      <c r="O162" s="19"/>
      <c r="P162" s="19"/>
      <c r="Q162" s="19"/>
    </row>
    <row r="163" spans="1:17">
      <c r="A163" s="19" t="s">
        <v>726</v>
      </c>
      <c r="B163" s="19" t="s">
        <v>571</v>
      </c>
      <c r="C163" s="19" t="s">
        <v>562</v>
      </c>
      <c r="D163" s="19" t="s">
        <v>617</v>
      </c>
      <c r="E163" s="19">
        <v>1.625</v>
      </c>
      <c r="F163" s="21">
        <v>46051</v>
      </c>
      <c r="G163" s="19" t="s">
        <v>574</v>
      </c>
      <c r="H163" s="19" t="s">
        <v>569</v>
      </c>
      <c r="I163" s="19" t="s">
        <v>727</v>
      </c>
      <c r="J163" s="19"/>
      <c r="K163" s="19"/>
      <c r="L163" s="19"/>
      <c r="M163" s="19"/>
      <c r="N163" s="19"/>
      <c r="O163" s="19"/>
      <c r="P163" s="19"/>
      <c r="Q163" s="19"/>
    </row>
    <row r="164" spans="1:17" ht="28.8">
      <c r="A164" s="19" t="s">
        <v>728</v>
      </c>
      <c r="B164" s="19" t="s">
        <v>571</v>
      </c>
      <c r="C164" s="19" t="s">
        <v>677</v>
      </c>
      <c r="D164" s="19" t="s">
        <v>677</v>
      </c>
      <c r="E164" s="19">
        <v>5.75</v>
      </c>
      <c r="F164" s="22">
        <v>11987</v>
      </c>
      <c r="G164" s="19" t="s">
        <v>574</v>
      </c>
      <c r="H164" s="19" t="s">
        <v>574</v>
      </c>
      <c r="I164" s="19" t="s">
        <v>729</v>
      </c>
      <c r="J164" s="19"/>
      <c r="K164" s="19"/>
      <c r="L164" s="19"/>
      <c r="M164" s="19"/>
      <c r="N164" s="19"/>
      <c r="O164" s="19"/>
      <c r="P164" s="19"/>
      <c r="Q164" s="19"/>
    </row>
    <row r="165" spans="1:17" ht="28.8">
      <c r="A165" s="19" t="s">
        <v>728</v>
      </c>
      <c r="B165" s="19" t="s">
        <v>571</v>
      </c>
      <c r="C165" s="19" t="s">
        <v>677</v>
      </c>
      <c r="D165" s="19" t="s">
        <v>677</v>
      </c>
      <c r="E165" s="19">
        <v>4.75</v>
      </c>
      <c r="F165" s="22">
        <v>12899</v>
      </c>
      <c r="G165" s="19" t="s">
        <v>14</v>
      </c>
      <c r="H165" s="19" t="s">
        <v>574</v>
      </c>
      <c r="I165" s="19" t="s">
        <v>729</v>
      </c>
      <c r="J165" s="19"/>
      <c r="K165" s="19"/>
      <c r="L165" s="19"/>
      <c r="M165" s="19"/>
      <c r="N165" s="19"/>
      <c r="O165" s="19"/>
      <c r="P165" s="19"/>
      <c r="Q165" s="19"/>
    </row>
    <row r="166" spans="1:17" ht="28.8">
      <c r="A166" s="19" t="s">
        <v>728</v>
      </c>
      <c r="B166" s="19" t="s">
        <v>571</v>
      </c>
      <c r="C166" s="19" t="s">
        <v>677</v>
      </c>
      <c r="D166" s="19" t="s">
        <v>677</v>
      </c>
      <c r="E166" s="19">
        <v>2.5</v>
      </c>
      <c r="F166" s="22">
        <v>15851</v>
      </c>
      <c r="G166" s="19" t="s">
        <v>14</v>
      </c>
      <c r="H166" s="19" t="s">
        <v>569</v>
      </c>
      <c r="I166" s="19" t="s">
        <v>729</v>
      </c>
      <c r="J166" s="19"/>
      <c r="K166" s="19"/>
      <c r="L166" s="19"/>
      <c r="M166" s="19"/>
      <c r="N166" s="19"/>
      <c r="O166" s="19"/>
      <c r="P166" s="19"/>
      <c r="Q166" s="19"/>
    </row>
    <row r="167" spans="1:17" ht="28.8">
      <c r="A167" s="19" t="s">
        <v>728</v>
      </c>
      <c r="B167" s="19" t="s">
        <v>571</v>
      </c>
      <c r="C167" s="19" t="s">
        <v>677</v>
      </c>
      <c r="D167" s="19" t="s">
        <v>677</v>
      </c>
      <c r="E167" s="19">
        <v>3.25</v>
      </c>
      <c r="F167" s="22">
        <v>16582</v>
      </c>
      <c r="G167" s="19" t="s">
        <v>14</v>
      </c>
      <c r="H167" s="19" t="s">
        <v>574</v>
      </c>
      <c r="I167" s="19" t="s">
        <v>729</v>
      </c>
      <c r="J167" s="19"/>
      <c r="K167" s="19"/>
      <c r="L167" s="19"/>
      <c r="M167" s="19"/>
      <c r="N167" s="19"/>
      <c r="O167" s="19"/>
      <c r="P167" s="19"/>
      <c r="Q167" s="19"/>
    </row>
    <row r="168" spans="1:17" ht="28.8">
      <c r="A168" s="19" t="s">
        <v>730</v>
      </c>
      <c r="B168" s="19" t="s">
        <v>578</v>
      </c>
      <c r="C168" s="19" t="s">
        <v>562</v>
      </c>
      <c r="D168" s="19" t="s">
        <v>573</v>
      </c>
      <c r="E168" s="19">
        <v>2.25</v>
      </c>
      <c r="F168" s="20">
        <v>11810</v>
      </c>
      <c r="G168" s="19" t="s">
        <v>574</v>
      </c>
      <c r="H168" s="19" t="s">
        <v>569</v>
      </c>
      <c r="I168" s="19" t="s">
        <v>588</v>
      </c>
      <c r="J168" s="19"/>
      <c r="K168" s="19"/>
      <c r="L168" s="19"/>
      <c r="M168" s="19"/>
      <c r="N168" s="19"/>
      <c r="O168" s="19"/>
      <c r="P168" s="19"/>
      <c r="Q168" s="19"/>
    </row>
    <row r="169" spans="1:17" ht="28.8">
      <c r="A169" s="19" t="s">
        <v>731</v>
      </c>
      <c r="B169" s="19" t="s">
        <v>578</v>
      </c>
      <c r="C169" s="19" t="s">
        <v>562</v>
      </c>
      <c r="D169" s="19" t="s">
        <v>606</v>
      </c>
      <c r="E169" s="19">
        <v>1.75</v>
      </c>
      <c r="F169" s="21">
        <v>46050</v>
      </c>
      <c r="G169" s="19" t="s">
        <v>446</v>
      </c>
      <c r="H169" s="19" t="s">
        <v>569</v>
      </c>
      <c r="I169" s="19" t="s">
        <v>732</v>
      </c>
      <c r="J169" s="19"/>
      <c r="K169" s="19"/>
      <c r="L169" s="19"/>
      <c r="M169" s="19"/>
      <c r="N169" s="19"/>
      <c r="O169" s="19"/>
      <c r="P169" s="19"/>
      <c r="Q169" s="19"/>
    </row>
    <row r="170" spans="1:17" ht="28.8">
      <c r="A170" s="19" t="s">
        <v>731</v>
      </c>
      <c r="B170" s="19" t="s">
        <v>578</v>
      </c>
      <c r="C170" s="19" t="s">
        <v>562</v>
      </c>
      <c r="D170" s="19" t="s">
        <v>606</v>
      </c>
      <c r="E170" s="19">
        <v>3.75</v>
      </c>
      <c r="F170" s="20">
        <v>12086</v>
      </c>
      <c r="G170" s="19" t="s">
        <v>574</v>
      </c>
      <c r="H170" s="19" t="s">
        <v>574</v>
      </c>
      <c r="I170" s="19" t="s">
        <v>732</v>
      </c>
      <c r="J170" s="19"/>
      <c r="K170" s="19"/>
      <c r="L170" s="19"/>
      <c r="M170" s="19"/>
      <c r="N170" s="19"/>
      <c r="O170" s="19"/>
      <c r="P170" s="19"/>
      <c r="Q170" s="19"/>
    </row>
    <row r="171" spans="1:17" ht="28.8">
      <c r="A171" s="19" t="s">
        <v>733</v>
      </c>
      <c r="B171" s="19" t="s">
        <v>578</v>
      </c>
      <c r="C171" s="19" t="s">
        <v>562</v>
      </c>
      <c r="D171" s="19" t="s">
        <v>595</v>
      </c>
      <c r="E171" s="19">
        <v>3.875</v>
      </c>
      <c r="F171" s="21">
        <v>46295</v>
      </c>
      <c r="G171" s="19" t="s">
        <v>574</v>
      </c>
      <c r="H171" s="19" t="s">
        <v>574</v>
      </c>
      <c r="I171" s="19" t="s">
        <v>655</v>
      </c>
      <c r="J171" s="19"/>
      <c r="K171" s="19"/>
      <c r="L171" s="19"/>
      <c r="M171" s="19"/>
      <c r="N171" s="19"/>
      <c r="O171" s="19"/>
      <c r="P171" s="19"/>
      <c r="Q171" s="19"/>
    </row>
    <row r="172" spans="1:17" ht="28.8">
      <c r="A172" s="19" t="s">
        <v>734</v>
      </c>
      <c r="B172" s="19" t="s">
        <v>578</v>
      </c>
      <c r="C172" s="19" t="s">
        <v>562</v>
      </c>
      <c r="D172" s="19" t="s">
        <v>580</v>
      </c>
      <c r="E172" s="19">
        <v>1.375</v>
      </c>
      <c r="F172" s="21">
        <v>46170</v>
      </c>
      <c r="G172" s="19" t="s">
        <v>446</v>
      </c>
      <c r="H172" s="19" t="s">
        <v>569</v>
      </c>
      <c r="I172" s="19" t="s">
        <v>735</v>
      </c>
      <c r="J172" s="19"/>
      <c r="K172" s="19"/>
      <c r="L172" s="19"/>
      <c r="M172" s="19"/>
      <c r="N172" s="19"/>
      <c r="O172" s="19"/>
      <c r="P172" s="19"/>
      <c r="Q172" s="19"/>
    </row>
    <row r="173" spans="1:17" ht="28.8">
      <c r="A173" s="19" t="s">
        <v>734</v>
      </c>
      <c r="B173" s="19" t="s">
        <v>578</v>
      </c>
      <c r="C173" s="19" t="s">
        <v>562</v>
      </c>
      <c r="D173" s="19" t="s">
        <v>580</v>
      </c>
      <c r="E173" s="19">
        <v>2.125</v>
      </c>
      <c r="F173" s="21">
        <v>46355</v>
      </c>
      <c r="G173" s="19" t="s">
        <v>574</v>
      </c>
      <c r="H173" s="19" t="s">
        <v>569</v>
      </c>
      <c r="I173" s="19" t="s">
        <v>735</v>
      </c>
      <c r="J173" s="19"/>
      <c r="K173" s="19"/>
      <c r="L173" s="19"/>
      <c r="M173" s="19"/>
      <c r="N173" s="19"/>
      <c r="O173" s="19"/>
      <c r="P173" s="19"/>
      <c r="Q173" s="19"/>
    </row>
    <row r="174" spans="1:17" ht="28.8">
      <c r="A174" s="19" t="s">
        <v>736</v>
      </c>
      <c r="B174" s="19" t="s">
        <v>578</v>
      </c>
      <c r="C174" s="19" t="s">
        <v>562</v>
      </c>
      <c r="D174" s="19" t="s">
        <v>622</v>
      </c>
      <c r="E174" s="19">
        <v>3.875</v>
      </c>
      <c r="F174" s="21">
        <v>46234</v>
      </c>
      <c r="G174" s="19" t="s">
        <v>574</v>
      </c>
      <c r="H174" s="19" t="s">
        <v>574</v>
      </c>
      <c r="I174" s="19" t="s">
        <v>623</v>
      </c>
      <c r="J174" s="19"/>
      <c r="K174" s="19"/>
      <c r="L174" s="19"/>
      <c r="M174" s="19"/>
      <c r="N174" s="19"/>
      <c r="O174" s="19"/>
      <c r="P174" s="19"/>
      <c r="Q174" s="19"/>
    </row>
    <row r="175" spans="1:17" ht="28.8">
      <c r="A175" s="19" t="s">
        <v>736</v>
      </c>
      <c r="B175" s="19" t="s">
        <v>578</v>
      </c>
      <c r="C175" s="19" t="s">
        <v>562</v>
      </c>
      <c r="D175" s="19" t="s">
        <v>622</v>
      </c>
      <c r="E175" s="19">
        <v>5.75</v>
      </c>
      <c r="F175" s="21">
        <v>46294</v>
      </c>
      <c r="G175" s="19" t="s">
        <v>574</v>
      </c>
      <c r="H175" s="19" t="s">
        <v>574</v>
      </c>
      <c r="I175" s="19" t="s">
        <v>623</v>
      </c>
      <c r="J175" s="19"/>
      <c r="K175" s="19"/>
      <c r="L175" s="19"/>
      <c r="M175" s="19"/>
      <c r="N175" s="19"/>
      <c r="O175" s="19"/>
      <c r="P175" s="19"/>
      <c r="Q175" s="19"/>
    </row>
    <row r="176" spans="1:17" ht="28.8">
      <c r="A176" s="19" t="s">
        <v>737</v>
      </c>
      <c r="B176" s="19" t="s">
        <v>578</v>
      </c>
      <c r="C176" s="19" t="s">
        <v>562</v>
      </c>
      <c r="D176" s="19" t="s">
        <v>573</v>
      </c>
      <c r="E176" s="19">
        <v>1.288</v>
      </c>
      <c r="F176" s="21">
        <v>46232</v>
      </c>
      <c r="G176" s="19" t="s">
        <v>574</v>
      </c>
      <c r="H176" s="19" t="s">
        <v>569</v>
      </c>
      <c r="I176" s="19" t="s">
        <v>738</v>
      </c>
      <c r="J176" s="19"/>
      <c r="K176" s="19"/>
      <c r="L176" s="19"/>
      <c r="M176" s="19"/>
      <c r="N176" s="19"/>
      <c r="O176" s="19"/>
      <c r="P176" s="19"/>
      <c r="Q176" s="19"/>
    </row>
    <row r="177" spans="1:17" ht="28.8">
      <c r="A177" s="19" t="s">
        <v>737</v>
      </c>
      <c r="B177" s="19" t="s">
        <v>578</v>
      </c>
      <c r="C177" s="19" t="s">
        <v>562</v>
      </c>
      <c r="D177" s="19" t="s">
        <v>573</v>
      </c>
      <c r="E177" s="19">
        <v>2.0310000000000001</v>
      </c>
      <c r="F177" s="20">
        <v>11902</v>
      </c>
      <c r="G177" s="19" t="s">
        <v>574</v>
      </c>
      <c r="H177" s="19" t="s">
        <v>569</v>
      </c>
      <c r="I177" s="19" t="s">
        <v>738</v>
      </c>
      <c r="J177" s="19"/>
      <c r="K177" s="19"/>
      <c r="L177" s="19"/>
      <c r="M177" s="19"/>
      <c r="N177" s="19"/>
      <c r="O177" s="19"/>
      <c r="P177" s="19"/>
      <c r="Q177" s="19"/>
    </row>
    <row r="178" spans="1:17" ht="28.8">
      <c r="A178" s="19" t="s">
        <v>739</v>
      </c>
      <c r="B178" s="19" t="s">
        <v>578</v>
      </c>
      <c r="C178" s="19" t="s">
        <v>562</v>
      </c>
      <c r="D178" s="19" t="s">
        <v>617</v>
      </c>
      <c r="E178" s="19">
        <v>2.75</v>
      </c>
      <c r="F178" s="20">
        <v>11780</v>
      </c>
      <c r="G178" s="19" t="s">
        <v>574</v>
      </c>
      <c r="H178" s="19" t="s">
        <v>569</v>
      </c>
      <c r="I178" s="19" t="s">
        <v>634</v>
      </c>
      <c r="J178" s="19"/>
      <c r="K178" s="19"/>
      <c r="L178" s="19"/>
      <c r="M178" s="19"/>
      <c r="N178" s="19"/>
      <c r="O178" s="19"/>
      <c r="P178" s="19"/>
      <c r="Q178" s="19"/>
    </row>
    <row r="179" spans="1:17" ht="28.8">
      <c r="A179" s="19" t="s">
        <v>739</v>
      </c>
      <c r="B179" s="19" t="s">
        <v>578</v>
      </c>
      <c r="C179" s="19" t="s">
        <v>562</v>
      </c>
      <c r="D179" s="19" t="s">
        <v>617</v>
      </c>
      <c r="E179" s="19">
        <v>3.5</v>
      </c>
      <c r="F179" s="21">
        <v>46295</v>
      </c>
      <c r="G179" s="19" t="s">
        <v>574</v>
      </c>
      <c r="H179" s="19" t="s">
        <v>574</v>
      </c>
      <c r="I179" s="19" t="s">
        <v>634</v>
      </c>
      <c r="J179" s="19"/>
      <c r="K179" s="19"/>
      <c r="L179" s="19"/>
      <c r="M179" s="19"/>
      <c r="N179" s="19"/>
      <c r="O179" s="19"/>
      <c r="P179" s="19"/>
      <c r="Q179" s="19"/>
    </row>
    <row r="180" spans="1:17" ht="28.8">
      <c r="A180" s="19" t="s">
        <v>739</v>
      </c>
      <c r="B180" s="19" t="s">
        <v>578</v>
      </c>
      <c r="C180" s="19" t="s">
        <v>562</v>
      </c>
      <c r="D180" s="19" t="s">
        <v>617</v>
      </c>
      <c r="E180" s="19">
        <v>4</v>
      </c>
      <c r="F180" s="20">
        <v>12479</v>
      </c>
      <c r="G180" s="19" t="s">
        <v>14</v>
      </c>
      <c r="H180" s="19" t="s">
        <v>574</v>
      </c>
      <c r="I180" s="19" t="s">
        <v>634</v>
      </c>
      <c r="J180" s="19"/>
      <c r="K180" s="19"/>
      <c r="L180" s="19"/>
      <c r="M180" s="19"/>
      <c r="N180" s="19"/>
      <c r="O180" s="19"/>
      <c r="P180" s="19"/>
      <c r="Q180" s="19"/>
    </row>
    <row r="181" spans="1:17" ht="28.8">
      <c r="A181" s="19" t="s">
        <v>740</v>
      </c>
      <c r="B181" s="19" t="s">
        <v>578</v>
      </c>
      <c r="C181" s="19" t="s">
        <v>562</v>
      </c>
      <c r="D181" s="19" t="s">
        <v>573</v>
      </c>
      <c r="E181" s="19">
        <v>1.5</v>
      </c>
      <c r="F181" s="21">
        <v>46108</v>
      </c>
      <c r="G181" s="19" t="s">
        <v>446</v>
      </c>
      <c r="H181" s="19" t="s">
        <v>569</v>
      </c>
      <c r="I181" s="19" t="s">
        <v>741</v>
      </c>
      <c r="J181" s="19"/>
      <c r="K181" s="19"/>
      <c r="L181" s="19"/>
      <c r="M181" s="19"/>
      <c r="N181" s="19"/>
      <c r="O181" s="19"/>
      <c r="P181" s="19"/>
      <c r="Q181" s="19"/>
    </row>
    <row r="182" spans="1:17" ht="28.8">
      <c r="A182" s="19" t="s">
        <v>740</v>
      </c>
      <c r="B182" s="19" t="s">
        <v>578</v>
      </c>
      <c r="C182" s="19" t="s">
        <v>562</v>
      </c>
      <c r="D182" s="19" t="s">
        <v>573</v>
      </c>
      <c r="E182" s="19">
        <v>3.75</v>
      </c>
      <c r="F182" s="20">
        <v>11414</v>
      </c>
      <c r="G182" s="19" t="s">
        <v>574</v>
      </c>
      <c r="H182" s="19" t="s">
        <v>574</v>
      </c>
      <c r="I182" s="19" t="s">
        <v>741</v>
      </c>
      <c r="J182" s="19"/>
      <c r="K182" s="19"/>
      <c r="L182" s="19"/>
      <c r="M182" s="19"/>
      <c r="N182" s="19"/>
      <c r="O182" s="19"/>
      <c r="P182" s="19"/>
      <c r="Q182" s="19"/>
    </row>
    <row r="183" spans="1:17" ht="28.8">
      <c r="A183" s="19" t="s">
        <v>742</v>
      </c>
      <c r="B183" s="19" t="s">
        <v>578</v>
      </c>
      <c r="C183" s="19" t="s">
        <v>677</v>
      </c>
      <c r="D183" s="19" t="s">
        <v>677</v>
      </c>
      <c r="E183" s="19">
        <v>2.5</v>
      </c>
      <c r="F183" s="22">
        <v>10973</v>
      </c>
      <c r="G183" s="19" t="s">
        <v>574</v>
      </c>
      <c r="H183" s="19" t="s">
        <v>569</v>
      </c>
      <c r="I183" s="19" t="s">
        <v>743</v>
      </c>
      <c r="J183" s="19"/>
      <c r="K183" s="19"/>
      <c r="L183" s="19"/>
      <c r="M183" s="19"/>
      <c r="N183" s="19"/>
      <c r="O183" s="19"/>
      <c r="P183" s="19"/>
      <c r="Q183" s="19"/>
    </row>
    <row r="184" spans="1:17" ht="28.8">
      <c r="A184" s="19" t="s">
        <v>742</v>
      </c>
      <c r="B184" s="19" t="s">
        <v>578</v>
      </c>
      <c r="C184" s="19" t="s">
        <v>677</v>
      </c>
      <c r="D184" s="19" t="s">
        <v>677</v>
      </c>
      <c r="E184" s="19">
        <v>4</v>
      </c>
      <c r="F184" s="22">
        <v>13530</v>
      </c>
      <c r="G184" s="19" t="s">
        <v>14</v>
      </c>
      <c r="H184" s="19" t="s">
        <v>574</v>
      </c>
      <c r="I184" s="19" t="s">
        <v>743</v>
      </c>
      <c r="J184" s="19"/>
      <c r="K184" s="19"/>
      <c r="L184" s="19"/>
      <c r="M184" s="19"/>
      <c r="N184" s="19"/>
      <c r="O184" s="19"/>
      <c r="P184" s="19"/>
      <c r="Q184" s="19"/>
    </row>
    <row r="185" spans="1:17" ht="28.8">
      <c r="A185" s="19" t="s">
        <v>742</v>
      </c>
      <c r="B185" s="19" t="s">
        <v>578</v>
      </c>
      <c r="C185" s="19" t="s">
        <v>677</v>
      </c>
      <c r="D185" s="19" t="s">
        <v>677</v>
      </c>
      <c r="E185" s="19">
        <v>3.75</v>
      </c>
      <c r="F185" s="22">
        <v>15356</v>
      </c>
      <c r="G185" s="19" t="s">
        <v>14</v>
      </c>
      <c r="H185" s="19" t="s">
        <v>574</v>
      </c>
      <c r="I185" s="19" t="s">
        <v>743</v>
      </c>
      <c r="J185" s="19"/>
      <c r="K185" s="19"/>
      <c r="L185" s="19"/>
      <c r="M185" s="19"/>
      <c r="N185" s="19"/>
      <c r="O185" s="19"/>
      <c r="P185" s="19"/>
      <c r="Q185" s="19"/>
    </row>
    <row r="186" spans="1:17" ht="28.8">
      <c r="A186" s="19" t="s">
        <v>742</v>
      </c>
      <c r="B186" s="19" t="s">
        <v>578</v>
      </c>
      <c r="C186" s="19" t="s">
        <v>677</v>
      </c>
      <c r="D186" s="19" t="s">
        <v>677</v>
      </c>
      <c r="E186" s="19">
        <v>2</v>
      </c>
      <c r="F186" s="22">
        <v>19739</v>
      </c>
      <c r="G186" s="19" t="s">
        <v>589</v>
      </c>
      <c r="H186" s="19" t="s">
        <v>569</v>
      </c>
      <c r="I186" s="19" t="s">
        <v>743</v>
      </c>
      <c r="J186" s="19"/>
      <c r="K186" s="19"/>
      <c r="L186" s="19"/>
      <c r="M186" s="19"/>
      <c r="N186" s="19"/>
      <c r="O186" s="19"/>
      <c r="P186" s="19"/>
      <c r="Q186" s="19"/>
    </row>
    <row r="187" spans="1:17">
      <c r="A187" s="19" t="s">
        <v>744</v>
      </c>
      <c r="B187" s="19" t="s">
        <v>577</v>
      </c>
      <c r="C187" s="19" t="s">
        <v>562</v>
      </c>
      <c r="D187" s="19" t="s">
        <v>606</v>
      </c>
      <c r="E187" s="19">
        <v>3.375</v>
      </c>
      <c r="F187" s="20">
        <v>11689</v>
      </c>
      <c r="G187" s="19" t="s">
        <v>574</v>
      </c>
      <c r="H187" s="19" t="s">
        <v>574</v>
      </c>
      <c r="I187" s="19" t="s">
        <v>625</v>
      </c>
      <c r="J187" s="19"/>
      <c r="K187" s="19"/>
      <c r="L187" s="19"/>
      <c r="M187" s="19"/>
      <c r="N187" s="19"/>
      <c r="O187" s="19"/>
      <c r="P187" s="19"/>
      <c r="Q187" s="19"/>
    </row>
    <row r="188" spans="1:17">
      <c r="A188" s="19" t="s">
        <v>744</v>
      </c>
      <c r="B188" s="19" t="s">
        <v>577</v>
      </c>
      <c r="C188" s="19" t="s">
        <v>562</v>
      </c>
      <c r="D188" s="19" t="s">
        <v>606</v>
      </c>
      <c r="E188" s="19">
        <v>4.625</v>
      </c>
      <c r="F188" s="21">
        <v>46353</v>
      </c>
      <c r="G188" s="19" t="s">
        <v>446</v>
      </c>
      <c r="H188" s="19" t="s">
        <v>574</v>
      </c>
      <c r="I188" s="19" t="s">
        <v>625</v>
      </c>
      <c r="J188" s="19"/>
      <c r="K188" s="19"/>
      <c r="L188" s="19"/>
      <c r="M188" s="19"/>
      <c r="N188" s="19"/>
      <c r="O188" s="19"/>
      <c r="P188" s="19"/>
      <c r="Q188" s="19"/>
    </row>
    <row r="189" spans="1:17">
      <c r="A189" s="19" t="s">
        <v>745</v>
      </c>
      <c r="B189" s="19" t="s">
        <v>577</v>
      </c>
      <c r="C189" s="19" t="s">
        <v>562</v>
      </c>
      <c r="D189" s="19" t="s">
        <v>601</v>
      </c>
      <c r="E189" s="19">
        <v>3.875</v>
      </c>
      <c r="F189" s="21">
        <v>46110</v>
      </c>
      <c r="G189" s="19" t="s">
        <v>574</v>
      </c>
      <c r="H189" s="19" t="s">
        <v>574</v>
      </c>
      <c r="I189" s="19" t="s">
        <v>746</v>
      </c>
      <c r="J189" s="19"/>
      <c r="K189" s="19"/>
      <c r="L189" s="19"/>
      <c r="M189" s="19"/>
      <c r="N189" s="19"/>
      <c r="O189" s="19"/>
      <c r="P189" s="19"/>
      <c r="Q189" s="19"/>
    </row>
    <row r="190" spans="1:17">
      <c r="A190" s="19" t="s">
        <v>747</v>
      </c>
      <c r="B190" s="19" t="s">
        <v>577</v>
      </c>
      <c r="C190" s="19" t="s">
        <v>562</v>
      </c>
      <c r="D190" s="19" t="s">
        <v>609</v>
      </c>
      <c r="E190" s="19">
        <v>3.625</v>
      </c>
      <c r="F190" s="21">
        <v>46051</v>
      </c>
      <c r="G190" s="19" t="s">
        <v>574</v>
      </c>
      <c r="H190" s="19" t="s">
        <v>574</v>
      </c>
      <c r="I190" s="19" t="s">
        <v>686</v>
      </c>
      <c r="J190" s="19"/>
      <c r="K190" s="19"/>
      <c r="L190" s="19"/>
      <c r="M190" s="19"/>
      <c r="N190" s="19"/>
      <c r="O190" s="19"/>
      <c r="P190" s="19"/>
      <c r="Q190" s="19"/>
    </row>
    <row r="191" spans="1:17">
      <c r="A191" s="19" t="s">
        <v>747</v>
      </c>
      <c r="B191" s="19" t="s">
        <v>577</v>
      </c>
      <c r="C191" s="19" t="s">
        <v>562</v>
      </c>
      <c r="D191" s="19" t="s">
        <v>609</v>
      </c>
      <c r="E191" s="19">
        <v>4.25</v>
      </c>
      <c r="F191" s="20">
        <v>12175</v>
      </c>
      <c r="G191" s="19" t="s">
        <v>574</v>
      </c>
      <c r="H191" s="19" t="s">
        <v>574</v>
      </c>
      <c r="I191" s="19" t="s">
        <v>686</v>
      </c>
      <c r="J191" s="19"/>
      <c r="K191" s="19"/>
      <c r="L191" s="19"/>
      <c r="M191" s="19"/>
      <c r="N191" s="19"/>
      <c r="O191" s="19"/>
      <c r="P191" s="19"/>
      <c r="Q191" s="19"/>
    </row>
    <row r="192" spans="1:17" ht="28.8">
      <c r="A192" s="19" t="s">
        <v>748</v>
      </c>
      <c r="B192" s="19" t="s">
        <v>577</v>
      </c>
      <c r="C192" s="19" t="s">
        <v>562</v>
      </c>
      <c r="D192" s="19" t="s">
        <v>606</v>
      </c>
      <c r="E192" s="19">
        <v>3.625</v>
      </c>
      <c r="F192" s="21">
        <v>46201</v>
      </c>
      <c r="G192" s="19" t="s">
        <v>446</v>
      </c>
      <c r="H192" s="19" t="s">
        <v>574</v>
      </c>
      <c r="I192" s="19" t="s">
        <v>625</v>
      </c>
      <c r="J192" s="19"/>
      <c r="K192" s="19"/>
      <c r="L192" s="19"/>
      <c r="M192" s="19"/>
      <c r="N192" s="19"/>
      <c r="O192" s="19"/>
      <c r="P192" s="19"/>
      <c r="Q192" s="19"/>
    </row>
    <row r="193" spans="1:17" ht="28.8">
      <c r="A193" s="19" t="s">
        <v>748</v>
      </c>
      <c r="B193" s="19" t="s">
        <v>577</v>
      </c>
      <c r="C193" s="19" t="s">
        <v>562</v>
      </c>
      <c r="D193" s="19" t="s">
        <v>606</v>
      </c>
      <c r="E193" s="19">
        <v>4.875</v>
      </c>
      <c r="F193" s="21">
        <v>46172</v>
      </c>
      <c r="G193" s="19" t="s">
        <v>574</v>
      </c>
      <c r="H193" s="19" t="s">
        <v>574</v>
      </c>
      <c r="I193" s="19" t="s">
        <v>625</v>
      </c>
      <c r="J193" s="19"/>
      <c r="K193" s="19"/>
      <c r="L193" s="19"/>
      <c r="M193" s="19"/>
      <c r="N193" s="19"/>
      <c r="O193" s="19"/>
      <c r="P193" s="19"/>
      <c r="Q193" s="19"/>
    </row>
    <row r="194" spans="1:17">
      <c r="A194" s="19" t="s">
        <v>749</v>
      </c>
      <c r="B194" s="19" t="s">
        <v>577</v>
      </c>
      <c r="C194" s="19" t="s">
        <v>562</v>
      </c>
      <c r="D194" s="19" t="s">
        <v>593</v>
      </c>
      <c r="E194" s="19">
        <v>3.2120000000000002</v>
      </c>
      <c r="F194" s="21">
        <v>46051</v>
      </c>
      <c r="G194" s="19" t="s">
        <v>574</v>
      </c>
      <c r="H194" s="19" t="s">
        <v>574</v>
      </c>
      <c r="I194" s="19" t="s">
        <v>593</v>
      </c>
      <c r="J194" s="19"/>
      <c r="K194" s="19"/>
      <c r="L194" s="19"/>
      <c r="M194" s="19"/>
      <c r="N194" s="19"/>
      <c r="O194" s="19"/>
      <c r="P194" s="19"/>
      <c r="Q194" s="19"/>
    </row>
    <row r="195" spans="1:17">
      <c r="A195" s="19" t="s">
        <v>749</v>
      </c>
      <c r="B195" s="19" t="s">
        <v>577</v>
      </c>
      <c r="C195" s="19" t="s">
        <v>562</v>
      </c>
      <c r="D195" s="19" t="s">
        <v>593</v>
      </c>
      <c r="E195" s="19">
        <v>5.5</v>
      </c>
      <c r="F195" s="20">
        <v>17441</v>
      </c>
      <c r="G195" s="19" t="s">
        <v>14</v>
      </c>
      <c r="H195" s="19" t="s">
        <v>574</v>
      </c>
      <c r="I195" s="19" t="s">
        <v>593</v>
      </c>
      <c r="J195" s="19"/>
      <c r="K195" s="19"/>
      <c r="L195" s="19"/>
      <c r="M195" s="19"/>
      <c r="N195" s="19"/>
      <c r="O195" s="19"/>
      <c r="P195" s="19"/>
      <c r="Q195" s="19"/>
    </row>
    <row r="196" spans="1:17">
      <c r="A196" s="19" t="s">
        <v>750</v>
      </c>
      <c r="B196" s="19" t="s">
        <v>577</v>
      </c>
      <c r="C196" s="19" t="s">
        <v>562</v>
      </c>
      <c r="D196" s="19" t="s">
        <v>606</v>
      </c>
      <c r="E196" s="19">
        <v>3.25</v>
      </c>
      <c r="F196" s="21">
        <v>46354</v>
      </c>
      <c r="G196" s="19" t="s">
        <v>446</v>
      </c>
      <c r="H196" s="19" t="s">
        <v>574</v>
      </c>
      <c r="I196" s="19" t="s">
        <v>636</v>
      </c>
      <c r="J196" s="19"/>
      <c r="K196" s="19"/>
      <c r="L196" s="19"/>
      <c r="M196" s="19"/>
      <c r="N196" s="19"/>
      <c r="O196" s="19"/>
      <c r="P196" s="19"/>
      <c r="Q196" s="19"/>
    </row>
    <row r="197" spans="1:17">
      <c r="A197" s="19" t="s">
        <v>751</v>
      </c>
      <c r="B197" s="19" t="s">
        <v>577</v>
      </c>
      <c r="C197" s="19" t="s">
        <v>562</v>
      </c>
      <c r="D197" s="19" t="s">
        <v>601</v>
      </c>
      <c r="E197" s="19">
        <v>1.25</v>
      </c>
      <c r="F197" s="20">
        <v>12571</v>
      </c>
      <c r="G197" s="19" t="s">
        <v>574</v>
      </c>
      <c r="H197" s="19" t="s">
        <v>569</v>
      </c>
      <c r="I197" s="19" t="s">
        <v>752</v>
      </c>
      <c r="J197" s="19"/>
      <c r="K197" s="19"/>
      <c r="L197" s="19"/>
      <c r="M197" s="19"/>
      <c r="N197" s="19"/>
      <c r="O197" s="19"/>
      <c r="P197" s="19"/>
      <c r="Q197" s="19"/>
    </row>
    <row r="198" spans="1:17">
      <c r="A198" s="19" t="s">
        <v>751</v>
      </c>
      <c r="B198" s="19" t="s">
        <v>577</v>
      </c>
      <c r="C198" s="19" t="s">
        <v>562</v>
      </c>
      <c r="D198" s="19" t="s">
        <v>601</v>
      </c>
      <c r="E198" s="19">
        <v>4</v>
      </c>
      <c r="F198" s="21">
        <v>46355</v>
      </c>
      <c r="G198" s="19" t="s">
        <v>574</v>
      </c>
      <c r="H198" s="19" t="s">
        <v>574</v>
      </c>
      <c r="I198" s="19" t="s">
        <v>752</v>
      </c>
      <c r="J198" s="19"/>
      <c r="K198" s="19"/>
      <c r="L198" s="19"/>
      <c r="M198" s="19"/>
      <c r="N198" s="19"/>
      <c r="O198" s="19"/>
      <c r="P198" s="19"/>
      <c r="Q198" s="19"/>
    </row>
    <row r="199" spans="1:17">
      <c r="A199" s="19" t="s">
        <v>753</v>
      </c>
      <c r="B199" s="19" t="s">
        <v>577</v>
      </c>
      <c r="C199" s="19" t="s">
        <v>562</v>
      </c>
      <c r="D199" s="19" t="s">
        <v>601</v>
      </c>
      <c r="E199" s="19">
        <v>1</v>
      </c>
      <c r="F199" s="21">
        <v>46323</v>
      </c>
      <c r="G199" s="19" t="s">
        <v>446</v>
      </c>
      <c r="H199" s="19" t="s">
        <v>569</v>
      </c>
      <c r="I199" s="19" t="s">
        <v>754</v>
      </c>
      <c r="J199" s="19"/>
      <c r="K199" s="19"/>
      <c r="L199" s="19"/>
      <c r="M199" s="19"/>
      <c r="N199" s="19"/>
      <c r="O199" s="19"/>
      <c r="P199" s="19"/>
      <c r="Q199" s="19"/>
    </row>
    <row r="200" spans="1:17" ht="28.8">
      <c r="A200" s="19" t="s">
        <v>755</v>
      </c>
      <c r="B200" s="19" t="s">
        <v>577</v>
      </c>
      <c r="C200" s="19" t="s">
        <v>562</v>
      </c>
      <c r="D200" s="19" t="s">
        <v>593</v>
      </c>
      <c r="E200" s="19">
        <v>3.5</v>
      </c>
      <c r="F200" s="21">
        <v>46353</v>
      </c>
      <c r="G200" s="19" t="s">
        <v>446</v>
      </c>
      <c r="H200" s="19" t="s">
        <v>574</v>
      </c>
      <c r="I200" s="19" t="s">
        <v>593</v>
      </c>
      <c r="J200" s="19"/>
      <c r="K200" s="19"/>
      <c r="L200" s="19"/>
      <c r="M200" s="19"/>
      <c r="N200" s="19"/>
      <c r="O200" s="19"/>
      <c r="P200" s="19"/>
      <c r="Q200" s="19"/>
    </row>
    <row r="201" spans="1:17">
      <c r="A201" s="19" t="s">
        <v>756</v>
      </c>
      <c r="B201" s="19" t="s">
        <v>577</v>
      </c>
      <c r="C201" s="19" t="s">
        <v>562</v>
      </c>
      <c r="D201" s="19" t="s">
        <v>593</v>
      </c>
      <c r="E201" s="19">
        <v>4.9000000000000004</v>
      </c>
      <c r="F201" s="20">
        <v>12540</v>
      </c>
      <c r="G201" s="19" t="s">
        <v>574</v>
      </c>
      <c r="H201" s="19" t="s">
        <v>574</v>
      </c>
      <c r="I201" s="19" t="s">
        <v>593</v>
      </c>
      <c r="J201" s="19"/>
      <c r="K201" s="19"/>
      <c r="L201" s="19"/>
      <c r="M201" s="19"/>
      <c r="N201" s="19"/>
      <c r="O201" s="19"/>
      <c r="P201" s="19"/>
      <c r="Q201" s="19"/>
    </row>
    <row r="202" spans="1:17" ht="28.8">
      <c r="A202" s="19" t="s">
        <v>757</v>
      </c>
      <c r="B202" s="19" t="s">
        <v>577</v>
      </c>
      <c r="C202" s="19" t="s">
        <v>677</v>
      </c>
      <c r="D202" s="19" t="s">
        <v>677</v>
      </c>
      <c r="E202" s="19">
        <v>5.25</v>
      </c>
      <c r="F202" s="22">
        <v>47129</v>
      </c>
      <c r="G202" s="19" t="s">
        <v>574</v>
      </c>
      <c r="H202" s="19" t="s">
        <v>574</v>
      </c>
      <c r="I202" s="19" t="s">
        <v>758</v>
      </c>
      <c r="J202" s="19"/>
      <c r="K202" s="19"/>
      <c r="L202" s="19"/>
      <c r="M202" s="19"/>
      <c r="N202" s="19"/>
      <c r="O202" s="19"/>
      <c r="P202" s="19"/>
      <c r="Q202" s="19"/>
    </row>
    <row r="203" spans="1:17" ht="28.8">
      <c r="A203" s="19" t="s">
        <v>757</v>
      </c>
      <c r="B203" s="19" t="s">
        <v>577</v>
      </c>
      <c r="C203" s="19" t="s">
        <v>677</v>
      </c>
      <c r="D203" s="19" t="s">
        <v>677</v>
      </c>
      <c r="E203" s="19">
        <v>6</v>
      </c>
      <c r="F203" s="22">
        <v>11328</v>
      </c>
      <c r="G203" s="19" t="s">
        <v>574</v>
      </c>
      <c r="H203" s="19" t="s">
        <v>574</v>
      </c>
      <c r="I203" s="19" t="s">
        <v>758</v>
      </c>
      <c r="J203" s="19"/>
      <c r="K203" s="19"/>
      <c r="L203" s="19"/>
      <c r="M203" s="19"/>
      <c r="N203" s="19"/>
      <c r="O203" s="19"/>
      <c r="P203" s="19"/>
      <c r="Q203" s="19"/>
    </row>
    <row r="204" spans="1:17" ht="28.8">
      <c r="A204" s="19" t="s">
        <v>757</v>
      </c>
      <c r="B204" s="19" t="s">
        <v>577</v>
      </c>
      <c r="C204" s="19" t="s">
        <v>677</v>
      </c>
      <c r="D204" s="19" t="s">
        <v>677</v>
      </c>
      <c r="E204" s="19">
        <v>3.1</v>
      </c>
      <c r="F204" s="22">
        <v>14613</v>
      </c>
      <c r="G204" s="19" t="s">
        <v>14</v>
      </c>
      <c r="H204" s="19" t="s">
        <v>574</v>
      </c>
      <c r="I204" s="19" t="s">
        <v>758</v>
      </c>
      <c r="J204" s="19"/>
      <c r="K204" s="19"/>
      <c r="L204" s="19"/>
      <c r="M204" s="19"/>
      <c r="N204" s="19"/>
      <c r="O204" s="19"/>
      <c r="P204" s="19"/>
      <c r="Q204" s="19"/>
    </row>
    <row r="205" spans="1:17" ht="28.8">
      <c r="A205" s="19" t="s">
        <v>757</v>
      </c>
      <c r="B205" s="19" t="s">
        <v>577</v>
      </c>
      <c r="C205" s="19" t="s">
        <v>677</v>
      </c>
      <c r="D205" s="19" t="s">
        <v>677</v>
      </c>
      <c r="E205" s="19">
        <v>4.75</v>
      </c>
      <c r="F205" s="22">
        <v>16080</v>
      </c>
      <c r="G205" s="19" t="s">
        <v>14</v>
      </c>
      <c r="H205" s="19" t="s">
        <v>574</v>
      </c>
      <c r="I205" s="19" t="s">
        <v>758</v>
      </c>
      <c r="J205" s="19"/>
      <c r="K205" s="19"/>
      <c r="L205" s="19"/>
      <c r="M205" s="19"/>
      <c r="N205" s="19"/>
      <c r="O205" s="19"/>
      <c r="P205" s="19"/>
      <c r="Q205" s="19"/>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329B-B712-4D39-94B1-9753D3E71551}">
  <dimension ref="A1:V92"/>
  <sheetViews>
    <sheetView topLeftCell="A65" zoomScale="50" zoomScaleNormal="50" workbookViewId="0">
      <selection activeCell="C64" sqref="C64"/>
    </sheetView>
  </sheetViews>
  <sheetFormatPr baseColWidth="10" defaultColWidth="10" defaultRowHeight="14.4"/>
  <cols>
    <col min="1" max="1" width="32.88671875" customWidth="1"/>
    <col min="2" max="2" width="40.88671875" customWidth="1"/>
    <col min="3" max="16" width="19" customWidth="1"/>
    <col min="17" max="17" width="76" customWidth="1"/>
    <col min="18" max="18" width="146.6640625" customWidth="1"/>
    <col min="19" max="22" width="36.5546875" bestFit="1" customWidth="1"/>
  </cols>
  <sheetData>
    <row r="1" spans="1:8" ht="28.8">
      <c r="A1" s="29" t="s">
        <v>759</v>
      </c>
      <c r="B1" s="24"/>
      <c r="C1" s="23" t="s">
        <v>760</v>
      </c>
      <c r="D1" s="31">
        <v>300000</v>
      </c>
      <c r="E1" s="23"/>
      <c r="F1" s="23"/>
      <c r="G1" s="23"/>
      <c r="H1" s="23"/>
    </row>
    <row r="2" spans="1:8" ht="57.6">
      <c r="A2" s="24"/>
      <c r="B2" s="24" t="s">
        <v>761</v>
      </c>
      <c r="C2" s="23"/>
      <c r="D2" s="32" t="s">
        <v>566</v>
      </c>
      <c r="E2" s="32"/>
      <c r="F2" s="23"/>
      <c r="G2" s="23"/>
      <c r="H2" s="23"/>
    </row>
    <row r="3" spans="1:8">
      <c r="A3" s="24"/>
      <c r="B3" s="29" t="s">
        <v>762</v>
      </c>
      <c r="C3" s="23"/>
      <c r="D3" s="23"/>
      <c r="E3" s="23"/>
      <c r="F3" s="23"/>
      <c r="G3" s="23"/>
      <c r="H3" s="23"/>
    </row>
    <row r="4" spans="1:8" ht="216">
      <c r="A4" s="24"/>
      <c r="B4" s="24"/>
      <c r="C4" s="24" t="s">
        <v>763</v>
      </c>
      <c r="D4" s="23"/>
      <c r="E4" s="23"/>
      <c r="F4" s="23"/>
      <c r="G4" s="23"/>
      <c r="H4" s="23"/>
    </row>
    <row r="5" spans="1:8" ht="28.8">
      <c r="A5" s="24"/>
      <c r="B5" s="25" t="s">
        <v>378</v>
      </c>
      <c r="C5" s="25" t="s">
        <v>551</v>
      </c>
      <c r="D5" s="25" t="s">
        <v>555</v>
      </c>
      <c r="E5" s="25" t="s">
        <v>764</v>
      </c>
      <c r="F5" s="25" t="s">
        <v>765</v>
      </c>
      <c r="G5" s="25"/>
      <c r="H5" s="25" t="s">
        <v>766</v>
      </c>
    </row>
    <row r="6" spans="1:8" ht="57.6">
      <c r="A6" s="24"/>
      <c r="B6" s="26" t="s">
        <v>767</v>
      </c>
      <c r="C6" s="26" t="s">
        <v>561</v>
      </c>
      <c r="D6" s="26">
        <v>2040</v>
      </c>
      <c r="E6" s="27">
        <v>0.1</v>
      </c>
      <c r="F6" s="28">
        <v>200000</v>
      </c>
      <c r="G6" s="28">
        <f>$D$1*E6</f>
        <v>30000</v>
      </c>
      <c r="H6" s="26" t="s">
        <v>768</v>
      </c>
    </row>
    <row r="7" spans="1:8" ht="57.6">
      <c r="A7" s="24"/>
      <c r="B7" s="26" t="s">
        <v>769</v>
      </c>
      <c r="C7" s="26" t="s">
        <v>561</v>
      </c>
      <c r="D7" s="26">
        <v>2031</v>
      </c>
      <c r="E7" s="27">
        <v>0.08</v>
      </c>
      <c r="F7" s="28">
        <v>160000</v>
      </c>
      <c r="G7" s="28">
        <f t="shared" ref="G7:G9" si="0">$D$1*E7</f>
        <v>24000</v>
      </c>
      <c r="H7" s="26" t="s">
        <v>770</v>
      </c>
    </row>
    <row r="8" spans="1:8" ht="72">
      <c r="A8" s="24"/>
      <c r="B8" s="26" t="s">
        <v>771</v>
      </c>
      <c r="C8" s="26" t="s">
        <v>576</v>
      </c>
      <c r="D8" s="26">
        <v>2040</v>
      </c>
      <c r="E8" s="27">
        <v>0.06</v>
      </c>
      <c r="F8" s="28">
        <v>120000</v>
      </c>
      <c r="G8" s="28">
        <f t="shared" si="0"/>
        <v>18000</v>
      </c>
      <c r="H8" s="26" t="s">
        <v>772</v>
      </c>
    </row>
    <row r="9" spans="1:8" ht="72">
      <c r="A9" s="24"/>
      <c r="B9" s="26" t="s">
        <v>773</v>
      </c>
      <c r="C9" s="26" t="s">
        <v>571</v>
      </c>
      <c r="D9" s="26">
        <v>2043</v>
      </c>
      <c r="E9" s="27">
        <v>0.06</v>
      </c>
      <c r="F9" s="28">
        <v>120000</v>
      </c>
      <c r="G9" s="28">
        <f t="shared" si="0"/>
        <v>18000</v>
      </c>
      <c r="H9" s="26" t="s">
        <v>774</v>
      </c>
    </row>
    <row r="10" spans="1:8">
      <c r="A10" s="24"/>
      <c r="B10" s="24"/>
      <c r="C10" s="23"/>
      <c r="D10" s="23"/>
      <c r="E10" s="23"/>
      <c r="F10" s="23"/>
      <c r="G10" s="23"/>
      <c r="H10" s="23"/>
    </row>
    <row r="11" spans="1:8" ht="28.8">
      <c r="A11" s="24"/>
      <c r="B11" s="29" t="s">
        <v>775</v>
      </c>
      <c r="C11" s="23"/>
      <c r="D11" s="23"/>
      <c r="E11" s="23"/>
      <c r="F11" s="23"/>
      <c r="G11" s="23"/>
      <c r="H11" s="23"/>
    </row>
    <row r="12" spans="1:8" ht="144">
      <c r="A12" s="24"/>
      <c r="B12" s="24"/>
      <c r="C12" s="24" t="s">
        <v>776</v>
      </c>
      <c r="D12" s="23"/>
      <c r="E12" s="23"/>
      <c r="F12" s="23"/>
      <c r="G12" s="23"/>
      <c r="H12" s="23"/>
    </row>
    <row r="13" spans="1:8" ht="28.8">
      <c r="A13" s="24"/>
      <c r="B13" s="25" t="s">
        <v>378</v>
      </c>
      <c r="C13" s="25" t="s">
        <v>777</v>
      </c>
      <c r="D13" s="25" t="s">
        <v>555</v>
      </c>
      <c r="E13" s="25" t="s">
        <v>764</v>
      </c>
      <c r="F13" s="25" t="s">
        <v>765</v>
      </c>
      <c r="G13" s="25"/>
      <c r="H13" s="25" t="s">
        <v>766</v>
      </c>
    </row>
    <row r="14" spans="1:8" ht="43.2">
      <c r="A14" s="24"/>
      <c r="B14" s="26" t="s">
        <v>778</v>
      </c>
      <c r="C14" s="26" t="s">
        <v>573</v>
      </c>
      <c r="D14" s="26">
        <v>2026</v>
      </c>
      <c r="E14" s="27">
        <v>0.06</v>
      </c>
      <c r="F14" s="28">
        <v>120000</v>
      </c>
      <c r="G14" s="28"/>
      <c r="H14" s="26" t="s">
        <v>779</v>
      </c>
    </row>
    <row r="15" spans="1:8" ht="57.6">
      <c r="A15" s="24"/>
      <c r="B15" s="26" t="s">
        <v>780</v>
      </c>
      <c r="C15" s="26" t="s">
        <v>573</v>
      </c>
      <c r="D15" s="26">
        <v>2039</v>
      </c>
      <c r="E15" s="27">
        <v>0.06</v>
      </c>
      <c r="F15" s="28">
        <v>120000</v>
      </c>
      <c r="G15" s="28"/>
      <c r="H15" s="26" t="s">
        <v>781</v>
      </c>
    </row>
    <row r="16" spans="1:8" ht="28.8">
      <c r="A16" s="24"/>
      <c r="B16" s="26" t="s">
        <v>782</v>
      </c>
      <c r="C16" s="26" t="s">
        <v>580</v>
      </c>
      <c r="D16" s="26">
        <v>2033</v>
      </c>
      <c r="E16" s="27">
        <v>0.06</v>
      </c>
      <c r="F16" s="28">
        <v>120000</v>
      </c>
      <c r="G16" s="28"/>
      <c r="H16" s="26" t="s">
        <v>783</v>
      </c>
    </row>
    <row r="17" spans="1:8" ht="57.6">
      <c r="A17" s="24"/>
      <c r="B17" s="26" t="s">
        <v>784</v>
      </c>
      <c r="C17" s="26" t="s">
        <v>606</v>
      </c>
      <c r="D17" s="26">
        <v>2040</v>
      </c>
      <c r="E17" s="27">
        <v>0.06</v>
      </c>
      <c r="F17" s="28">
        <v>120000</v>
      </c>
      <c r="G17" s="28"/>
      <c r="H17" s="26" t="s">
        <v>785</v>
      </c>
    </row>
    <row r="18" spans="1:8" ht="43.2">
      <c r="A18" s="24"/>
      <c r="B18" s="26" t="s">
        <v>786</v>
      </c>
      <c r="C18" s="26" t="s">
        <v>601</v>
      </c>
      <c r="D18" s="26">
        <v>2029</v>
      </c>
      <c r="E18" s="27">
        <v>0.06</v>
      </c>
      <c r="F18" s="28">
        <v>120000</v>
      </c>
      <c r="G18" s="28"/>
      <c r="H18" s="26" t="s">
        <v>787</v>
      </c>
    </row>
    <row r="19" spans="1:8">
      <c r="A19" s="24"/>
      <c r="B19" s="24"/>
      <c r="C19" s="23"/>
      <c r="D19" s="23"/>
      <c r="E19" s="23"/>
      <c r="F19" s="23"/>
      <c r="G19" s="23"/>
      <c r="H19" s="23"/>
    </row>
    <row r="20" spans="1:8">
      <c r="A20" s="24"/>
      <c r="B20" s="29" t="s">
        <v>788</v>
      </c>
      <c r="C20" s="23"/>
      <c r="D20" s="23"/>
      <c r="E20" s="23"/>
      <c r="F20" s="23"/>
      <c r="G20" s="23"/>
      <c r="H20" s="23"/>
    </row>
    <row r="21" spans="1:8" ht="144">
      <c r="A21" s="24"/>
      <c r="B21" s="24"/>
      <c r="C21" s="24" t="s">
        <v>789</v>
      </c>
      <c r="D21" s="23"/>
      <c r="E21" s="23"/>
      <c r="F21" s="23"/>
      <c r="G21" s="23"/>
      <c r="H21" s="23"/>
    </row>
    <row r="22" spans="1:8" ht="28.8">
      <c r="A22" s="24"/>
      <c r="B22" s="25" t="s">
        <v>378</v>
      </c>
      <c r="C22" s="25" t="s">
        <v>551</v>
      </c>
      <c r="D22" s="25" t="s">
        <v>555</v>
      </c>
      <c r="E22" s="25" t="s">
        <v>764</v>
      </c>
      <c r="F22" s="25" t="s">
        <v>765</v>
      </c>
      <c r="G22" s="25"/>
      <c r="H22" s="25" t="s">
        <v>766</v>
      </c>
    </row>
    <row r="23" spans="1:8" ht="43.2">
      <c r="A23" s="24"/>
      <c r="B23" s="26" t="s">
        <v>790</v>
      </c>
      <c r="C23" s="26" t="s">
        <v>571</v>
      </c>
      <c r="D23" s="26">
        <v>2029</v>
      </c>
      <c r="E23" s="27">
        <v>0.05</v>
      </c>
      <c r="F23" s="28">
        <v>100000</v>
      </c>
      <c r="G23" s="28"/>
      <c r="H23" s="26" t="s">
        <v>791</v>
      </c>
    </row>
    <row r="24" spans="1:8" ht="43.2">
      <c r="A24" s="24"/>
      <c r="B24" s="26" t="s">
        <v>792</v>
      </c>
      <c r="C24" s="26" t="s">
        <v>576</v>
      </c>
      <c r="D24" s="26">
        <v>2031</v>
      </c>
      <c r="E24" s="27">
        <v>0.05</v>
      </c>
      <c r="F24" s="28">
        <v>100000</v>
      </c>
      <c r="G24" s="28"/>
      <c r="H24" s="26" t="s">
        <v>793</v>
      </c>
    </row>
    <row r="25" spans="1:8" ht="43.2">
      <c r="A25" s="24"/>
      <c r="B25" s="26" t="s">
        <v>794</v>
      </c>
      <c r="C25" s="26" t="s">
        <v>795</v>
      </c>
      <c r="D25" s="26">
        <v>2029</v>
      </c>
      <c r="E25" s="27">
        <v>0.05</v>
      </c>
      <c r="F25" s="28">
        <v>100000</v>
      </c>
      <c r="G25" s="28"/>
      <c r="H25" s="26" t="s">
        <v>796</v>
      </c>
    </row>
    <row r="26" spans="1:8">
      <c r="A26" s="24"/>
      <c r="B26" s="24"/>
      <c r="C26" s="23"/>
      <c r="D26" s="23"/>
      <c r="E26" s="23"/>
      <c r="F26" s="23"/>
      <c r="G26" s="23"/>
      <c r="H26" s="23"/>
    </row>
    <row r="27" spans="1:8" ht="28.8">
      <c r="A27" s="29" t="s">
        <v>797</v>
      </c>
      <c r="B27" s="24"/>
      <c r="C27" s="23"/>
      <c r="D27" s="23"/>
      <c r="E27" s="23"/>
      <c r="F27" s="23"/>
      <c r="G27" s="23"/>
      <c r="H27" s="23"/>
    </row>
    <row r="28" spans="1:8" ht="43.2">
      <c r="A28" s="24"/>
      <c r="B28" s="24" t="s">
        <v>798</v>
      </c>
      <c r="C28" s="23"/>
      <c r="D28" s="23"/>
      <c r="E28" s="23"/>
      <c r="F28" s="23"/>
      <c r="G28" s="23"/>
      <c r="H28" s="23"/>
    </row>
    <row r="29" spans="1:8">
      <c r="A29" s="24"/>
      <c r="B29" s="29" t="s">
        <v>799</v>
      </c>
      <c r="C29" s="23"/>
      <c r="D29" s="23"/>
      <c r="E29" s="23"/>
      <c r="F29" s="23"/>
      <c r="G29" s="23"/>
      <c r="H29" s="23"/>
    </row>
    <row r="30" spans="1:8" ht="129.6">
      <c r="A30" s="24"/>
      <c r="B30" s="24"/>
      <c r="C30" s="24" t="s">
        <v>800</v>
      </c>
      <c r="D30" s="23"/>
      <c r="E30" s="23"/>
      <c r="F30" s="23"/>
      <c r="G30" s="23"/>
      <c r="H30" s="23"/>
    </row>
    <row r="31" spans="1:8" ht="28.8">
      <c r="A31" s="24"/>
      <c r="B31" s="25" t="s">
        <v>378</v>
      </c>
      <c r="C31" s="25" t="s">
        <v>777</v>
      </c>
      <c r="D31" s="25" t="s">
        <v>555</v>
      </c>
      <c r="E31" s="25" t="s">
        <v>764</v>
      </c>
      <c r="F31" s="25" t="s">
        <v>765</v>
      </c>
      <c r="G31" s="25"/>
      <c r="H31" s="25" t="s">
        <v>766</v>
      </c>
    </row>
    <row r="32" spans="1:8" ht="72">
      <c r="A32" s="24"/>
      <c r="B32" s="26" t="s">
        <v>801</v>
      </c>
      <c r="C32" s="26" t="s">
        <v>617</v>
      </c>
      <c r="D32" s="26">
        <v>2026</v>
      </c>
      <c r="E32" s="27">
        <v>0.1</v>
      </c>
      <c r="F32" s="28">
        <v>200000</v>
      </c>
      <c r="G32" s="28"/>
      <c r="H32" s="26" t="s">
        <v>802</v>
      </c>
    </row>
    <row r="33" spans="1:8">
      <c r="A33" s="24"/>
      <c r="B33" s="24"/>
      <c r="C33" s="24"/>
      <c r="D33" s="24"/>
      <c r="E33" s="24"/>
      <c r="F33" s="24"/>
      <c r="G33" s="24"/>
      <c r="H33" s="24"/>
    </row>
    <row r="34" spans="1:8">
      <c r="A34" s="24"/>
      <c r="B34" s="29" t="s">
        <v>803</v>
      </c>
      <c r="C34" s="23"/>
      <c r="D34" s="23"/>
      <c r="E34" s="23"/>
      <c r="F34" s="23"/>
      <c r="G34" s="23"/>
      <c r="H34" s="23"/>
    </row>
    <row r="35" spans="1:8" ht="129.6">
      <c r="A35" s="24"/>
      <c r="B35" s="24"/>
      <c r="C35" s="24" t="s">
        <v>804</v>
      </c>
      <c r="D35" s="23"/>
      <c r="E35" s="23"/>
      <c r="F35" s="23"/>
      <c r="G35" s="23"/>
      <c r="H35" s="23"/>
    </row>
    <row r="36" spans="1:8" ht="28.8">
      <c r="A36" s="24"/>
      <c r="B36" s="25" t="s">
        <v>378</v>
      </c>
      <c r="C36" s="25" t="s">
        <v>777</v>
      </c>
      <c r="D36" s="25" t="s">
        <v>555</v>
      </c>
      <c r="E36" s="25" t="s">
        <v>764</v>
      </c>
      <c r="F36" s="25" t="s">
        <v>765</v>
      </c>
      <c r="G36" s="25"/>
      <c r="H36" s="25" t="s">
        <v>766</v>
      </c>
    </row>
    <row r="37" spans="1:8" ht="43.2">
      <c r="A37" s="24"/>
      <c r="B37" s="26" t="s">
        <v>805</v>
      </c>
      <c r="C37" s="26" t="s">
        <v>609</v>
      </c>
      <c r="D37" s="26">
        <v>2033</v>
      </c>
      <c r="E37" s="27">
        <v>0.09</v>
      </c>
      <c r="F37" s="28">
        <v>180000</v>
      </c>
      <c r="G37" s="28"/>
      <c r="H37" s="26" t="s">
        <v>806</v>
      </c>
    </row>
    <row r="38" spans="1:8" ht="43.2">
      <c r="A38" s="24"/>
      <c r="B38" s="26" t="s">
        <v>807</v>
      </c>
      <c r="C38" s="26" t="s">
        <v>617</v>
      </c>
      <c r="D38" s="26">
        <v>2043</v>
      </c>
      <c r="E38" s="27">
        <v>0.08</v>
      </c>
      <c r="F38" s="28">
        <v>160000</v>
      </c>
      <c r="G38" s="28"/>
      <c r="H38" s="26" t="s">
        <v>808</v>
      </c>
    </row>
    <row r="39" spans="1:8">
      <c r="A39" s="24"/>
      <c r="B39" s="24"/>
      <c r="C39" s="24"/>
      <c r="D39" s="24"/>
      <c r="E39" s="24"/>
      <c r="F39" s="24"/>
      <c r="G39" s="24"/>
      <c r="H39" s="24"/>
    </row>
    <row r="40" spans="1:8">
      <c r="A40" s="24"/>
      <c r="B40" s="29" t="s">
        <v>809</v>
      </c>
      <c r="C40" s="23"/>
      <c r="D40" s="23"/>
      <c r="E40" s="23"/>
      <c r="F40" s="23"/>
      <c r="G40" s="23"/>
      <c r="H40" s="23"/>
    </row>
    <row r="41" spans="1:8" ht="129.6">
      <c r="A41" s="24"/>
      <c r="B41" s="24"/>
      <c r="C41" s="24" t="s">
        <v>810</v>
      </c>
      <c r="D41" s="23"/>
      <c r="E41" s="23"/>
      <c r="F41" s="23"/>
      <c r="G41" s="23"/>
      <c r="H41" s="23"/>
    </row>
    <row r="42" spans="1:8" ht="28.8">
      <c r="A42" s="24"/>
      <c r="B42" s="25" t="s">
        <v>378</v>
      </c>
      <c r="C42" s="25" t="s">
        <v>777</v>
      </c>
      <c r="D42" s="25" t="s">
        <v>555</v>
      </c>
      <c r="E42" s="25" t="s">
        <v>764</v>
      </c>
      <c r="F42" s="25" t="s">
        <v>765</v>
      </c>
      <c r="G42" s="25"/>
      <c r="H42" s="25" t="s">
        <v>766</v>
      </c>
    </row>
    <row r="43" spans="1:8" ht="43.2">
      <c r="A43" s="24"/>
      <c r="B43" s="26" t="s">
        <v>811</v>
      </c>
      <c r="C43" s="26" t="s">
        <v>595</v>
      </c>
      <c r="D43" s="26">
        <v>2038</v>
      </c>
      <c r="E43" s="27">
        <v>0.06</v>
      </c>
      <c r="F43" s="28">
        <v>120000</v>
      </c>
      <c r="G43" s="28"/>
      <c r="H43" s="26" t="s">
        <v>812</v>
      </c>
    </row>
    <row r="44" spans="1:8" ht="28.8">
      <c r="A44" s="24"/>
      <c r="B44" s="26" t="s">
        <v>813</v>
      </c>
      <c r="C44" s="26" t="s">
        <v>595</v>
      </c>
      <c r="D44" s="26">
        <v>2038</v>
      </c>
      <c r="E44" s="27">
        <v>0.06</v>
      </c>
      <c r="F44" s="28">
        <v>120000</v>
      </c>
      <c r="G44" s="28"/>
      <c r="H44" s="26" t="s">
        <v>814</v>
      </c>
    </row>
    <row r="50" spans="1:22">
      <c r="A50" t="s">
        <v>815</v>
      </c>
    </row>
    <row r="51" spans="1:22">
      <c r="A51" s="43" t="s">
        <v>816</v>
      </c>
      <c r="B51" s="37" t="s">
        <v>817</v>
      </c>
      <c r="C51" s="37" t="s">
        <v>818</v>
      </c>
      <c r="D51" s="37" t="s">
        <v>819</v>
      </c>
      <c r="E51" s="37" t="s">
        <v>820</v>
      </c>
      <c r="F51" s="37" t="s">
        <v>821</v>
      </c>
      <c r="G51" s="37" t="s">
        <v>822</v>
      </c>
      <c r="H51" s="37" t="s">
        <v>823</v>
      </c>
      <c r="I51" s="37" t="s">
        <v>824</v>
      </c>
      <c r="J51" s="37" t="s">
        <v>825</v>
      </c>
      <c r="K51" s="37" t="s">
        <v>826</v>
      </c>
      <c r="L51" s="37" t="s">
        <v>827</v>
      </c>
      <c r="M51" s="37" t="s">
        <v>765</v>
      </c>
      <c r="N51" s="37" t="s">
        <v>828</v>
      </c>
      <c r="O51" s="37" t="s">
        <v>829</v>
      </c>
      <c r="P51" s="37" t="s">
        <v>830</v>
      </c>
      <c r="Q51" s="43" t="s">
        <v>831</v>
      </c>
      <c r="R51" s="37" t="s">
        <v>832</v>
      </c>
      <c r="S51" s="43" t="s">
        <v>833</v>
      </c>
      <c r="T51" s="43" t="s">
        <v>834</v>
      </c>
      <c r="U51" s="43" t="s">
        <v>835</v>
      </c>
      <c r="V51" s="43" t="s">
        <v>836</v>
      </c>
    </row>
    <row r="52" spans="1:22" ht="316.8">
      <c r="A52" s="118" t="s">
        <v>837</v>
      </c>
      <c r="B52" s="121" t="s">
        <v>838</v>
      </c>
      <c r="C52" s="38" t="s">
        <v>839</v>
      </c>
      <c r="D52" s="39" t="s">
        <v>840</v>
      </c>
      <c r="E52" s="40">
        <v>30000</v>
      </c>
      <c r="F52" s="38" t="s">
        <v>841</v>
      </c>
      <c r="G52" s="40">
        <v>1000</v>
      </c>
      <c r="H52" s="38">
        <v>754.66</v>
      </c>
      <c r="I52" s="41">
        <v>45976</v>
      </c>
      <c r="J52" s="38">
        <v>6.93</v>
      </c>
      <c r="K52" s="38">
        <v>761.59</v>
      </c>
      <c r="L52" s="38">
        <v>647.20000000000005</v>
      </c>
      <c r="M52" s="38">
        <v>46.353522869999999</v>
      </c>
      <c r="N52" s="38">
        <v>46</v>
      </c>
      <c r="O52" s="38">
        <v>34714.36</v>
      </c>
      <c r="P52" s="38">
        <v>29771.200000000001</v>
      </c>
      <c r="Q52" s="39" t="s">
        <v>842</v>
      </c>
      <c r="R52" s="44" t="s">
        <v>843</v>
      </c>
      <c r="S52" s="39" t="s">
        <v>844</v>
      </c>
      <c r="T52" s="39" t="s">
        <v>845</v>
      </c>
      <c r="U52" s="39" t="s">
        <v>846</v>
      </c>
      <c r="V52" s="39" t="s">
        <v>847</v>
      </c>
    </row>
    <row r="53" spans="1:22" ht="273.60000000000002">
      <c r="A53" s="119"/>
      <c r="B53" s="123"/>
      <c r="C53" s="38" t="s">
        <v>848</v>
      </c>
      <c r="D53" s="39" t="s">
        <v>849</v>
      </c>
      <c r="E53" s="40">
        <v>15000</v>
      </c>
      <c r="F53" s="38" t="s">
        <v>81</v>
      </c>
      <c r="G53" s="40">
        <v>1000</v>
      </c>
      <c r="H53" s="38">
        <v>656.8</v>
      </c>
      <c r="I53" s="41">
        <v>45884</v>
      </c>
      <c r="J53" s="38">
        <v>5.92</v>
      </c>
      <c r="K53" s="38">
        <v>662.72</v>
      </c>
      <c r="L53" s="38">
        <v>663.02</v>
      </c>
      <c r="M53" s="38">
        <v>22.62375192</v>
      </c>
      <c r="N53" s="38">
        <v>22</v>
      </c>
      <c r="O53" s="38">
        <v>14449.6</v>
      </c>
      <c r="P53" s="38">
        <v>14586.44</v>
      </c>
      <c r="Q53" s="39" t="s">
        <v>850</v>
      </c>
      <c r="R53" s="44" t="s">
        <v>851</v>
      </c>
      <c r="S53" s="39" t="s">
        <v>852</v>
      </c>
      <c r="T53" s="39" t="s">
        <v>853</v>
      </c>
      <c r="U53" s="39" t="s">
        <v>854</v>
      </c>
      <c r="V53" s="39" t="s">
        <v>855</v>
      </c>
    </row>
    <row r="54" spans="1:22" ht="259.2">
      <c r="A54" s="119"/>
      <c r="B54" s="122"/>
      <c r="C54" s="38" t="s">
        <v>856</v>
      </c>
      <c r="D54" s="39" t="s">
        <v>857</v>
      </c>
      <c r="E54" s="40">
        <v>15000</v>
      </c>
      <c r="F54" s="38" t="s">
        <v>81</v>
      </c>
      <c r="G54" s="40">
        <v>1000</v>
      </c>
      <c r="H54" s="38">
        <v>886.65</v>
      </c>
      <c r="I54" s="41">
        <v>45986</v>
      </c>
      <c r="J54" s="38">
        <v>6.32</v>
      </c>
      <c r="K54" s="38">
        <v>892.97</v>
      </c>
      <c r="L54" s="38">
        <v>893.22</v>
      </c>
      <c r="M54" s="38">
        <v>16.793175250000001</v>
      </c>
      <c r="N54" s="38">
        <v>16</v>
      </c>
      <c r="O54" s="38">
        <v>14186.4</v>
      </c>
      <c r="P54" s="38">
        <v>14291.52</v>
      </c>
      <c r="Q54" s="39" t="s">
        <v>420</v>
      </c>
      <c r="R54" s="44" t="s">
        <v>858</v>
      </c>
      <c r="S54" s="39" t="s">
        <v>859</v>
      </c>
      <c r="T54" s="39" t="s">
        <v>860</v>
      </c>
      <c r="U54" s="39" t="s">
        <v>861</v>
      </c>
      <c r="V54" s="39" t="s">
        <v>862</v>
      </c>
    </row>
    <row r="55" spans="1:22" ht="331.2">
      <c r="A55" s="119"/>
      <c r="B55" s="121" t="s">
        <v>863</v>
      </c>
      <c r="C55" s="38" t="s">
        <v>864</v>
      </c>
      <c r="D55" s="39" t="s">
        <v>865</v>
      </c>
      <c r="E55" s="40">
        <v>21000</v>
      </c>
      <c r="F55" s="38" t="s">
        <v>841</v>
      </c>
      <c r="G55" s="40">
        <v>1000</v>
      </c>
      <c r="H55" s="42">
        <v>1044.08</v>
      </c>
      <c r="I55" s="41">
        <v>45992</v>
      </c>
      <c r="J55" s="38">
        <v>9.26</v>
      </c>
      <c r="K55" s="42">
        <v>1053.3399999999999</v>
      </c>
      <c r="L55" s="38">
        <v>894.47</v>
      </c>
      <c r="M55" s="38">
        <v>23.477590079999999</v>
      </c>
      <c r="N55" s="38">
        <v>23</v>
      </c>
      <c r="O55" s="38">
        <v>24013.84</v>
      </c>
      <c r="P55" s="38">
        <v>20572.810000000001</v>
      </c>
      <c r="Q55" s="39" t="s">
        <v>399</v>
      </c>
      <c r="R55" s="44" t="s">
        <v>866</v>
      </c>
      <c r="S55" s="39" t="s">
        <v>867</v>
      </c>
      <c r="T55" s="39" t="s">
        <v>868</v>
      </c>
      <c r="U55" s="39" t="s">
        <v>869</v>
      </c>
      <c r="V55" s="39" t="s">
        <v>870</v>
      </c>
    </row>
    <row r="56" spans="1:22" ht="244.8">
      <c r="A56" s="119"/>
      <c r="B56" s="123"/>
      <c r="C56" s="38" t="s">
        <v>871</v>
      </c>
      <c r="D56" s="39" t="s">
        <v>872</v>
      </c>
      <c r="E56" s="40">
        <v>21000</v>
      </c>
      <c r="F56" s="38" t="s">
        <v>841</v>
      </c>
      <c r="G56" s="40">
        <v>1000</v>
      </c>
      <c r="H56" s="38">
        <v>887.61</v>
      </c>
      <c r="I56" s="41">
        <v>46058</v>
      </c>
      <c r="J56" s="38">
        <v>-0.06</v>
      </c>
      <c r="K56" s="38">
        <v>887.55</v>
      </c>
      <c r="L56" s="38">
        <v>753.69</v>
      </c>
      <c r="M56" s="38">
        <v>27.862914459999999</v>
      </c>
      <c r="N56" s="38">
        <v>27</v>
      </c>
      <c r="O56" s="38">
        <v>23965.47</v>
      </c>
      <c r="P56" s="38">
        <v>20349.63</v>
      </c>
      <c r="Q56" s="39" t="s">
        <v>401</v>
      </c>
      <c r="R56" s="44" t="s">
        <v>873</v>
      </c>
      <c r="S56" s="39" t="s">
        <v>874</v>
      </c>
      <c r="T56" s="39" t="s">
        <v>875</v>
      </c>
      <c r="U56" s="39" t="s">
        <v>876</v>
      </c>
      <c r="V56" s="39" t="s">
        <v>877</v>
      </c>
    </row>
    <row r="57" spans="1:22" ht="244.8">
      <c r="A57" s="120"/>
      <c r="B57" s="122"/>
      <c r="C57" s="38" t="s">
        <v>878</v>
      </c>
      <c r="D57" s="39" t="s">
        <v>879</v>
      </c>
      <c r="E57" s="40">
        <v>18000</v>
      </c>
      <c r="F57" s="38" t="s">
        <v>81</v>
      </c>
      <c r="G57" s="40">
        <v>1000</v>
      </c>
      <c r="H57" s="38">
        <v>966.33</v>
      </c>
      <c r="I57" s="41">
        <v>45978</v>
      </c>
      <c r="J57" s="38">
        <v>4.87</v>
      </c>
      <c r="K57" s="38">
        <v>971.2</v>
      </c>
      <c r="L57" s="38">
        <v>973.11</v>
      </c>
      <c r="M57" s="38">
        <v>18.49739495</v>
      </c>
      <c r="N57" s="38">
        <v>18</v>
      </c>
      <c r="O57" s="38">
        <v>17393.939999999999</v>
      </c>
      <c r="P57" s="38">
        <v>17515.98</v>
      </c>
      <c r="Q57" s="39" t="s">
        <v>422</v>
      </c>
      <c r="R57" s="44" t="s">
        <v>880</v>
      </c>
      <c r="S57" s="39" t="s">
        <v>881</v>
      </c>
      <c r="T57" s="39" t="s">
        <v>882</v>
      </c>
      <c r="U57" s="39" t="s">
        <v>883</v>
      </c>
      <c r="V57" s="39" t="s">
        <v>884</v>
      </c>
    </row>
    <row r="58" spans="1:22" ht="244.8">
      <c r="A58" s="118" t="s">
        <v>885</v>
      </c>
      <c r="B58" s="121" t="s">
        <v>886</v>
      </c>
      <c r="C58" s="38" t="s">
        <v>887</v>
      </c>
      <c r="D58" s="39" t="s">
        <v>888</v>
      </c>
      <c r="E58" s="38">
        <v>18000</v>
      </c>
      <c r="F58" s="38" t="s">
        <v>841</v>
      </c>
      <c r="G58" s="40">
        <v>1000</v>
      </c>
      <c r="H58" s="38">
        <v>1015.5</v>
      </c>
      <c r="I58" s="41">
        <v>46054</v>
      </c>
      <c r="J58" s="38">
        <v>0.62</v>
      </c>
      <c r="K58" s="42">
        <v>1016.12</v>
      </c>
      <c r="L58" s="38">
        <v>862.86</v>
      </c>
      <c r="M58" s="38">
        <v>20.86085808</v>
      </c>
      <c r="N58" s="38">
        <v>20</v>
      </c>
      <c r="O58" s="38">
        <v>20310</v>
      </c>
      <c r="P58" s="38">
        <v>17257.2</v>
      </c>
      <c r="Q58" s="39" t="s">
        <v>403</v>
      </c>
      <c r="R58" s="44" t="s">
        <v>889</v>
      </c>
      <c r="S58" s="39" t="s">
        <v>890</v>
      </c>
      <c r="T58" s="39" t="s">
        <v>891</v>
      </c>
      <c r="U58" s="39" t="s">
        <v>892</v>
      </c>
      <c r="V58" s="39" t="s">
        <v>893</v>
      </c>
    </row>
    <row r="59" spans="1:22" ht="244.8">
      <c r="A59" s="119"/>
      <c r="B59" s="122"/>
      <c r="C59" s="38" t="s">
        <v>894</v>
      </c>
      <c r="D59" s="39" t="s">
        <v>895</v>
      </c>
      <c r="E59" s="38">
        <v>18000</v>
      </c>
      <c r="F59" s="38" t="s">
        <v>841</v>
      </c>
      <c r="G59" s="40">
        <v>1000</v>
      </c>
      <c r="H59" s="38">
        <v>1079.5899999999999</v>
      </c>
      <c r="I59" s="41">
        <v>45878</v>
      </c>
      <c r="J59" s="38">
        <v>31.88</v>
      </c>
      <c r="K59" s="42">
        <v>1111.47</v>
      </c>
      <c r="L59" s="38">
        <v>943.82</v>
      </c>
      <c r="M59" s="38">
        <v>19.071433110000001</v>
      </c>
      <c r="N59" s="38">
        <v>19</v>
      </c>
      <c r="O59" s="38">
        <v>20512.21</v>
      </c>
      <c r="P59" s="38">
        <v>17932.580000000002</v>
      </c>
      <c r="Q59" s="39" t="s">
        <v>1001</v>
      </c>
      <c r="R59" s="44" t="s">
        <v>896</v>
      </c>
      <c r="S59" s="39" t="s">
        <v>897</v>
      </c>
      <c r="T59" s="39" t="s">
        <v>898</v>
      </c>
      <c r="U59" s="39" t="s">
        <v>899</v>
      </c>
      <c r="V59" s="39" t="s">
        <v>900</v>
      </c>
    </row>
    <row r="60" spans="1:22" ht="244.8">
      <c r="A60" s="119"/>
      <c r="B60" s="121" t="s">
        <v>901</v>
      </c>
      <c r="C60" s="38" t="s">
        <v>902</v>
      </c>
      <c r="D60" s="39" t="s">
        <v>903</v>
      </c>
      <c r="E60" s="38">
        <v>15000</v>
      </c>
      <c r="F60" s="38" t="s">
        <v>841</v>
      </c>
      <c r="G60" s="40">
        <v>1000</v>
      </c>
      <c r="H60" s="38">
        <v>1366.1</v>
      </c>
      <c r="I60" s="41">
        <v>45971</v>
      </c>
      <c r="J60" s="38">
        <v>23.44</v>
      </c>
      <c r="K60" s="42">
        <v>1389.54</v>
      </c>
      <c r="L60" s="38">
        <v>1179.96</v>
      </c>
      <c r="M60" s="38">
        <v>12.71229533</v>
      </c>
      <c r="N60" s="38">
        <v>12</v>
      </c>
      <c r="O60" s="38">
        <v>16393.2</v>
      </c>
      <c r="P60" s="38">
        <v>14159.52</v>
      </c>
      <c r="Q60" s="39" t="s">
        <v>407</v>
      </c>
      <c r="R60" s="44" t="s">
        <v>904</v>
      </c>
      <c r="S60" s="39" t="s">
        <v>905</v>
      </c>
      <c r="T60" s="39" t="s">
        <v>906</v>
      </c>
      <c r="U60" s="39" t="s">
        <v>907</v>
      </c>
      <c r="V60" s="39" t="s">
        <v>908</v>
      </c>
    </row>
    <row r="61" spans="1:22" ht="244.8">
      <c r="A61" s="119"/>
      <c r="B61" s="122"/>
      <c r="C61" s="38" t="s">
        <v>909</v>
      </c>
      <c r="D61" s="39" t="s">
        <v>910</v>
      </c>
      <c r="E61" s="38">
        <v>15000</v>
      </c>
      <c r="F61" s="38" t="s">
        <v>841</v>
      </c>
      <c r="G61" s="40">
        <v>1000</v>
      </c>
      <c r="H61" s="38">
        <v>1112.83</v>
      </c>
      <c r="I61" s="41">
        <v>45977</v>
      </c>
      <c r="J61" s="38">
        <v>13.97</v>
      </c>
      <c r="K61" s="42">
        <v>1126.8</v>
      </c>
      <c r="L61" s="38">
        <v>956.85</v>
      </c>
      <c r="M61" s="38">
        <v>15.67643831</v>
      </c>
      <c r="N61" s="38">
        <v>15</v>
      </c>
      <c r="O61" s="38">
        <v>16692.45</v>
      </c>
      <c r="P61" s="38">
        <v>14352.75</v>
      </c>
      <c r="Q61" s="39" t="s">
        <v>409</v>
      </c>
      <c r="R61" s="44" t="s">
        <v>911</v>
      </c>
      <c r="S61" s="39" t="s">
        <v>912</v>
      </c>
      <c r="T61" s="39" t="s">
        <v>913</v>
      </c>
      <c r="U61" s="39" t="s">
        <v>914</v>
      </c>
      <c r="V61" s="39" t="s">
        <v>915</v>
      </c>
    </row>
    <row r="62" spans="1:22" ht="316.8">
      <c r="A62" s="119"/>
      <c r="B62" s="121" t="s">
        <v>916</v>
      </c>
      <c r="C62" s="38" t="s">
        <v>917</v>
      </c>
      <c r="D62" s="39" t="s">
        <v>918</v>
      </c>
      <c r="E62" s="38">
        <v>15000</v>
      </c>
      <c r="F62" s="38" t="s">
        <v>841</v>
      </c>
      <c r="G62" s="40">
        <v>1000</v>
      </c>
      <c r="H62" s="38">
        <v>1080</v>
      </c>
      <c r="I62" s="41">
        <v>45945</v>
      </c>
      <c r="J62" s="38">
        <v>21.1</v>
      </c>
      <c r="K62" s="42">
        <v>1101.0999999999999</v>
      </c>
      <c r="L62" s="38">
        <v>943.51</v>
      </c>
      <c r="M62" s="38">
        <v>15.898082690000001</v>
      </c>
      <c r="N62" s="38">
        <v>15</v>
      </c>
      <c r="O62" s="38">
        <v>16200</v>
      </c>
      <c r="P62" s="38">
        <v>14152.65</v>
      </c>
      <c r="Q62" s="39" t="s">
        <v>411</v>
      </c>
      <c r="R62" s="44" t="s">
        <v>919</v>
      </c>
      <c r="S62" s="39" t="s">
        <v>920</v>
      </c>
      <c r="T62" s="39" t="s">
        <v>921</v>
      </c>
      <c r="U62" s="39" t="s">
        <v>922</v>
      </c>
      <c r="V62" s="39" t="s">
        <v>923</v>
      </c>
    </row>
    <row r="63" spans="1:22" ht="244.8">
      <c r="A63" s="120"/>
      <c r="B63" s="122"/>
      <c r="C63" s="38" t="s">
        <v>924</v>
      </c>
      <c r="D63" s="39" t="s">
        <v>925</v>
      </c>
      <c r="E63" s="38">
        <v>9000</v>
      </c>
      <c r="F63" s="38" t="s">
        <v>841</v>
      </c>
      <c r="G63" s="40">
        <v>1000</v>
      </c>
      <c r="H63" s="38">
        <v>1004.57</v>
      </c>
      <c r="I63" s="41">
        <v>45901</v>
      </c>
      <c r="J63" s="38">
        <v>29.38</v>
      </c>
      <c r="K63" s="42">
        <v>1033.95</v>
      </c>
      <c r="L63" s="38">
        <v>878</v>
      </c>
      <c r="M63" s="38">
        <v>10.250569479999999</v>
      </c>
      <c r="N63" s="38">
        <v>10</v>
      </c>
      <c r="O63" s="38">
        <v>10045.700000000001</v>
      </c>
      <c r="P63" s="38">
        <v>8780</v>
      </c>
      <c r="Q63" s="39" t="s">
        <v>413</v>
      </c>
      <c r="R63" s="44" t="s">
        <v>926</v>
      </c>
      <c r="S63" s="39" t="s">
        <v>927</v>
      </c>
      <c r="T63" s="39" t="s">
        <v>928</v>
      </c>
      <c r="U63" s="39" t="s">
        <v>929</v>
      </c>
      <c r="V63" s="39" t="s">
        <v>930</v>
      </c>
    </row>
    <row r="64" spans="1:22" ht="316.8">
      <c r="A64" s="118" t="s">
        <v>931</v>
      </c>
      <c r="B64" s="121" t="s">
        <v>932</v>
      </c>
      <c r="C64" s="38" t="s">
        <v>999</v>
      </c>
      <c r="D64" s="39" t="s">
        <v>933</v>
      </c>
      <c r="E64" s="38">
        <v>15000</v>
      </c>
      <c r="F64" s="38" t="s">
        <v>81</v>
      </c>
      <c r="G64" s="40">
        <v>1000</v>
      </c>
      <c r="H64" s="38">
        <v>925.86</v>
      </c>
      <c r="I64" s="41">
        <v>45901</v>
      </c>
      <c r="J64" s="38">
        <v>13.25</v>
      </c>
      <c r="K64" s="38">
        <v>939.11</v>
      </c>
      <c r="L64" s="38">
        <v>939.51</v>
      </c>
      <c r="M64" s="38">
        <v>15.96576939</v>
      </c>
      <c r="N64" s="38">
        <v>15</v>
      </c>
      <c r="O64" s="38">
        <v>13887.9</v>
      </c>
      <c r="P64" s="38">
        <v>14092.65</v>
      </c>
      <c r="Q64" s="39" t="s">
        <v>1002</v>
      </c>
      <c r="R64" s="44" t="s">
        <v>1003</v>
      </c>
      <c r="S64" s="39" t="s">
        <v>934</v>
      </c>
      <c r="T64" s="39" t="s">
        <v>935</v>
      </c>
      <c r="U64" s="39" t="s">
        <v>936</v>
      </c>
      <c r="V64" s="39" t="s">
        <v>937</v>
      </c>
    </row>
    <row r="65" spans="1:22" ht="244.8">
      <c r="A65" s="119"/>
      <c r="B65" s="122"/>
      <c r="C65" s="38" t="s">
        <v>1000</v>
      </c>
      <c r="D65" s="39" t="s">
        <v>938</v>
      </c>
      <c r="E65" s="38">
        <v>15000</v>
      </c>
      <c r="F65" s="38" t="s">
        <v>81</v>
      </c>
      <c r="G65" s="40">
        <v>1000</v>
      </c>
      <c r="H65" s="38">
        <v>1184.56</v>
      </c>
      <c r="I65" s="41">
        <v>46026</v>
      </c>
      <c r="J65" s="38">
        <v>4.03</v>
      </c>
      <c r="K65" s="42">
        <v>1188.5899999999999</v>
      </c>
      <c r="L65" s="38">
        <v>1189.0999999999999</v>
      </c>
      <c r="M65" s="38">
        <v>12.614582459999999</v>
      </c>
      <c r="N65" s="38">
        <v>12</v>
      </c>
      <c r="O65" s="38">
        <v>14214.72</v>
      </c>
      <c r="P65" s="38">
        <v>14269.2</v>
      </c>
      <c r="Q65" s="39" t="s">
        <v>1004</v>
      </c>
      <c r="R65" s="44" t="s">
        <v>940</v>
      </c>
      <c r="S65" s="39" t="s">
        <v>941</v>
      </c>
      <c r="T65" s="39" t="s">
        <v>942</v>
      </c>
      <c r="U65" s="39" t="s">
        <v>943</v>
      </c>
      <c r="V65" s="39" t="s">
        <v>944</v>
      </c>
    </row>
    <row r="66" spans="1:22" ht="244.8">
      <c r="A66" s="119"/>
      <c r="B66" s="121" t="s">
        <v>945</v>
      </c>
      <c r="C66" s="38" t="s">
        <v>946</v>
      </c>
      <c r="D66" s="39" t="s">
        <v>947</v>
      </c>
      <c r="E66" s="38">
        <v>10000</v>
      </c>
      <c r="F66" s="38" t="s">
        <v>841</v>
      </c>
      <c r="G66" s="40">
        <v>1000</v>
      </c>
      <c r="H66" s="38">
        <v>1152.58</v>
      </c>
      <c r="I66" s="41">
        <v>45976</v>
      </c>
      <c r="J66" s="38">
        <v>14.2</v>
      </c>
      <c r="K66" s="42">
        <v>1166.78</v>
      </c>
      <c r="L66" s="38">
        <v>990.8</v>
      </c>
      <c r="M66" s="38">
        <v>10.092854259999999</v>
      </c>
      <c r="N66" s="38">
        <v>10</v>
      </c>
      <c r="O66" s="38">
        <v>11525.8</v>
      </c>
      <c r="P66" s="38">
        <v>9908</v>
      </c>
      <c r="Q66" s="39" t="s">
        <v>415</v>
      </c>
      <c r="R66" s="44" t="s">
        <v>948</v>
      </c>
      <c r="S66" s="39" t="s">
        <v>949</v>
      </c>
      <c r="T66" s="39" t="s">
        <v>950</v>
      </c>
      <c r="U66" s="39" t="s">
        <v>951</v>
      </c>
      <c r="V66" s="39" t="s">
        <v>952</v>
      </c>
    </row>
    <row r="67" spans="1:22" ht="244.8">
      <c r="A67" s="119"/>
      <c r="B67" s="123"/>
      <c r="C67" s="38" t="s">
        <v>953</v>
      </c>
      <c r="D67" s="39" t="s">
        <v>954</v>
      </c>
      <c r="E67" s="38">
        <v>8000</v>
      </c>
      <c r="F67" s="38" t="s">
        <v>841</v>
      </c>
      <c r="G67" s="40">
        <v>1000</v>
      </c>
      <c r="H67" s="38">
        <v>1041.4000000000001</v>
      </c>
      <c r="I67" s="41">
        <v>45945</v>
      </c>
      <c r="J67" s="38">
        <v>16.88</v>
      </c>
      <c r="K67" s="42">
        <v>1058.28</v>
      </c>
      <c r="L67" s="38">
        <v>898.66</v>
      </c>
      <c r="M67" s="38">
        <v>8.9021431910000004</v>
      </c>
      <c r="N67" s="38">
        <v>8</v>
      </c>
      <c r="O67" s="38">
        <v>8331.2000000000007</v>
      </c>
      <c r="P67" s="38">
        <v>7189.28</v>
      </c>
      <c r="Q67" s="39" t="s">
        <v>417</v>
      </c>
      <c r="R67" s="44" t="s">
        <v>955</v>
      </c>
      <c r="S67" s="39" t="s">
        <v>956</v>
      </c>
      <c r="T67" s="39" t="s">
        <v>957</v>
      </c>
      <c r="U67" s="39" t="s">
        <v>958</v>
      </c>
      <c r="V67" s="39" t="s">
        <v>959</v>
      </c>
    </row>
    <row r="68" spans="1:22" ht="244.8">
      <c r="A68" s="119"/>
      <c r="B68" s="123"/>
      <c r="C68" s="38" t="s">
        <v>960</v>
      </c>
      <c r="D68" s="39" t="s">
        <v>961</v>
      </c>
      <c r="E68" s="38">
        <v>7000</v>
      </c>
      <c r="F68" s="38" t="s">
        <v>81</v>
      </c>
      <c r="G68" s="40">
        <v>1000</v>
      </c>
      <c r="H68" s="38">
        <v>838.91</v>
      </c>
      <c r="I68" s="41">
        <v>45921</v>
      </c>
      <c r="J68" s="38">
        <v>6.99</v>
      </c>
      <c r="K68" s="38">
        <v>845.9</v>
      </c>
      <c r="L68" s="38">
        <v>849.84</v>
      </c>
      <c r="M68" s="38">
        <v>8.2368445829999999</v>
      </c>
      <c r="N68" s="38">
        <v>8</v>
      </c>
      <c r="O68" s="38">
        <v>6711.28</v>
      </c>
      <c r="P68" s="38">
        <v>6798.72</v>
      </c>
      <c r="Q68" s="39" t="s">
        <v>424</v>
      </c>
      <c r="R68" s="44" t="s">
        <v>962</v>
      </c>
      <c r="S68" s="39" t="s">
        <v>963</v>
      </c>
      <c r="T68" s="39" t="s">
        <v>964</v>
      </c>
      <c r="U68" s="39" t="s">
        <v>965</v>
      </c>
      <c r="V68" s="39" t="s">
        <v>966</v>
      </c>
    </row>
    <row r="69" spans="1:22" ht="244.8">
      <c r="A69" s="120"/>
      <c r="B69" s="122"/>
      <c r="C69" s="38" t="s">
        <v>967</v>
      </c>
      <c r="D69" s="39" t="s">
        <v>968</v>
      </c>
      <c r="E69" s="38">
        <v>5000</v>
      </c>
      <c r="F69" s="38" t="s">
        <v>81</v>
      </c>
      <c r="G69" s="40">
        <v>1000</v>
      </c>
      <c r="H69" s="38">
        <v>749.91</v>
      </c>
      <c r="I69" s="41">
        <v>45991</v>
      </c>
      <c r="J69" s="38">
        <v>2.78</v>
      </c>
      <c r="K69" s="38">
        <v>752.69</v>
      </c>
      <c r="L69" s="38">
        <v>755.78</v>
      </c>
      <c r="M69" s="38">
        <v>6.6156818120000001</v>
      </c>
      <c r="N69" s="38">
        <v>6</v>
      </c>
      <c r="O69" s="38">
        <v>4499.46</v>
      </c>
      <c r="P69" s="38">
        <v>4534.68</v>
      </c>
      <c r="Q69" s="39" t="s">
        <v>426</v>
      </c>
      <c r="R69" s="44" t="s">
        <v>969</v>
      </c>
      <c r="S69" s="39" t="s">
        <v>970</v>
      </c>
      <c r="T69" s="39" t="s">
        <v>971</v>
      </c>
      <c r="U69" s="39" t="s">
        <v>972</v>
      </c>
      <c r="V69" s="39" t="s">
        <v>973</v>
      </c>
    </row>
    <row r="70" spans="1:22" ht="230.4">
      <c r="A70" s="39" t="s">
        <v>974</v>
      </c>
      <c r="B70" s="109"/>
      <c r="C70" s="38"/>
      <c r="D70" s="38"/>
      <c r="E70" s="38">
        <v>30000</v>
      </c>
      <c r="F70" s="38"/>
      <c r="G70" s="38"/>
      <c r="H70" s="38"/>
      <c r="I70" s="38"/>
      <c r="J70" s="38"/>
      <c r="K70" s="38"/>
      <c r="L70" s="38"/>
      <c r="M70" s="38"/>
      <c r="N70" s="38"/>
      <c r="O70" s="38"/>
      <c r="P70" s="38"/>
      <c r="Q70" s="39"/>
      <c r="R70" s="44" t="s">
        <v>975</v>
      </c>
      <c r="S70" s="39" t="s">
        <v>976</v>
      </c>
      <c r="T70" s="39"/>
      <c r="U70" s="39" t="s">
        <v>977</v>
      </c>
      <c r="V70" s="39" t="s">
        <v>978</v>
      </c>
    </row>
    <row r="73" spans="1:22" ht="28.8">
      <c r="A73" s="43" t="s">
        <v>816</v>
      </c>
      <c r="B73" s="43" t="s">
        <v>817</v>
      </c>
      <c r="C73" s="43" t="s">
        <v>818</v>
      </c>
      <c r="D73" s="45" t="s">
        <v>819</v>
      </c>
      <c r="E73" s="45" t="s">
        <v>820</v>
      </c>
      <c r="F73" s="45" t="s">
        <v>821</v>
      </c>
      <c r="G73" s="45" t="s">
        <v>822</v>
      </c>
      <c r="H73" s="45" t="s">
        <v>823</v>
      </c>
      <c r="I73" s="45" t="s">
        <v>824</v>
      </c>
      <c r="J73" s="43" t="s">
        <v>825</v>
      </c>
      <c r="K73" s="43" t="s">
        <v>826</v>
      </c>
      <c r="L73" s="43" t="s">
        <v>827</v>
      </c>
      <c r="M73" s="45" t="s">
        <v>765</v>
      </c>
      <c r="N73" s="45" t="s">
        <v>828</v>
      </c>
      <c r="O73" s="45" t="s">
        <v>829</v>
      </c>
      <c r="P73" s="45" t="s">
        <v>830</v>
      </c>
      <c r="Q73" s="43" t="s">
        <v>831</v>
      </c>
      <c r="R73" s="45" t="s">
        <v>832</v>
      </c>
      <c r="S73" s="43" t="s">
        <v>833</v>
      </c>
      <c r="T73" s="43" t="s">
        <v>834</v>
      </c>
      <c r="U73" s="43" t="s">
        <v>835</v>
      </c>
      <c r="V73" s="43" t="s">
        <v>836</v>
      </c>
    </row>
    <row r="74" spans="1:22" ht="316.8">
      <c r="A74" s="115" t="s">
        <v>837</v>
      </c>
      <c r="B74" s="115" t="s">
        <v>838</v>
      </c>
      <c r="C74" s="26" t="s">
        <v>839</v>
      </c>
      <c r="D74" s="26" t="s">
        <v>840</v>
      </c>
      <c r="E74" s="47">
        <v>30000</v>
      </c>
      <c r="F74" s="46" t="s">
        <v>841</v>
      </c>
      <c r="G74" s="47">
        <v>1000</v>
      </c>
      <c r="H74" s="46">
        <v>754.66</v>
      </c>
      <c r="I74" s="48">
        <v>45976</v>
      </c>
      <c r="J74" s="26">
        <v>6.93</v>
      </c>
      <c r="K74" s="26">
        <v>761.59</v>
      </c>
      <c r="L74" s="26">
        <v>647.20000000000005</v>
      </c>
      <c r="M74" s="46">
        <v>46.353522869999999</v>
      </c>
      <c r="N74" s="46">
        <v>46</v>
      </c>
      <c r="O74" s="46">
        <v>34714.36</v>
      </c>
      <c r="P74" s="46">
        <v>29771.200000000001</v>
      </c>
      <c r="Q74" s="26" t="s">
        <v>842</v>
      </c>
      <c r="R74" s="52" t="s">
        <v>843</v>
      </c>
      <c r="S74" s="26" t="s">
        <v>844</v>
      </c>
      <c r="T74" s="26" t="s">
        <v>845</v>
      </c>
      <c r="U74" s="26" t="s">
        <v>846</v>
      </c>
      <c r="V74" s="26" t="s">
        <v>847</v>
      </c>
    </row>
    <row r="75" spans="1:22" ht="273.60000000000002">
      <c r="A75" s="116"/>
      <c r="B75" s="116"/>
      <c r="C75" s="26" t="s">
        <v>848</v>
      </c>
      <c r="D75" s="26" t="s">
        <v>849</v>
      </c>
      <c r="E75" s="47">
        <v>15000</v>
      </c>
      <c r="F75" s="46" t="s">
        <v>81</v>
      </c>
      <c r="G75" s="47">
        <v>1000</v>
      </c>
      <c r="H75" s="46">
        <v>656.8</v>
      </c>
      <c r="I75" s="48">
        <v>45884</v>
      </c>
      <c r="J75" s="26">
        <v>5.92</v>
      </c>
      <c r="K75" s="26">
        <v>662.72</v>
      </c>
      <c r="L75" s="26">
        <v>663.02</v>
      </c>
      <c r="M75" s="46">
        <v>22.62375192</v>
      </c>
      <c r="N75" s="46">
        <v>22</v>
      </c>
      <c r="O75" s="46">
        <v>14449.6</v>
      </c>
      <c r="P75" s="46">
        <v>14586.44</v>
      </c>
      <c r="Q75" s="26" t="s">
        <v>850</v>
      </c>
      <c r="R75" s="49" t="s">
        <v>979</v>
      </c>
      <c r="S75" s="26" t="s">
        <v>852</v>
      </c>
      <c r="T75" s="26" t="s">
        <v>853</v>
      </c>
      <c r="U75" s="26" t="s">
        <v>854</v>
      </c>
      <c r="V75" s="26" t="s">
        <v>855</v>
      </c>
    </row>
    <row r="76" spans="1:22" ht="259.2">
      <c r="A76" s="116"/>
      <c r="B76" s="117"/>
      <c r="C76" s="26" t="s">
        <v>856</v>
      </c>
      <c r="D76" s="26" t="s">
        <v>857</v>
      </c>
      <c r="E76" s="47">
        <v>15000</v>
      </c>
      <c r="F76" s="46" t="s">
        <v>81</v>
      </c>
      <c r="G76" s="47">
        <v>1000</v>
      </c>
      <c r="H76" s="46">
        <v>886.65</v>
      </c>
      <c r="I76" s="48">
        <v>45986</v>
      </c>
      <c r="J76" s="26">
        <v>6.32</v>
      </c>
      <c r="K76" s="26">
        <v>892.97</v>
      </c>
      <c r="L76" s="26">
        <v>893.22</v>
      </c>
      <c r="M76" s="46">
        <v>16.793175250000001</v>
      </c>
      <c r="N76" s="46">
        <v>16</v>
      </c>
      <c r="O76" s="46">
        <v>14186.4</v>
      </c>
      <c r="P76" s="46">
        <v>14291.52</v>
      </c>
      <c r="Q76" s="26" t="s">
        <v>420</v>
      </c>
      <c r="R76" s="49" t="s">
        <v>980</v>
      </c>
      <c r="S76" s="26" t="s">
        <v>859</v>
      </c>
      <c r="T76" s="26" t="s">
        <v>860</v>
      </c>
      <c r="U76" s="26" t="s">
        <v>861</v>
      </c>
      <c r="V76" s="26" t="s">
        <v>862</v>
      </c>
    </row>
    <row r="77" spans="1:22" ht="331.2">
      <c r="A77" s="116"/>
      <c r="B77" s="115" t="s">
        <v>863</v>
      </c>
      <c r="C77" s="26" t="s">
        <v>864</v>
      </c>
      <c r="D77" s="26" t="s">
        <v>865</v>
      </c>
      <c r="E77" s="47">
        <v>21000</v>
      </c>
      <c r="F77" s="46" t="s">
        <v>841</v>
      </c>
      <c r="G77" s="47">
        <v>1000</v>
      </c>
      <c r="H77" s="50">
        <v>1044.08</v>
      </c>
      <c r="I77" s="48">
        <v>45992</v>
      </c>
      <c r="J77" s="26">
        <v>9.26</v>
      </c>
      <c r="K77" s="51">
        <v>1053.3399999999999</v>
      </c>
      <c r="L77" s="26">
        <v>894.47</v>
      </c>
      <c r="M77" s="46">
        <v>23.477590079999999</v>
      </c>
      <c r="N77" s="46">
        <v>23</v>
      </c>
      <c r="O77" s="46">
        <v>24013.84</v>
      </c>
      <c r="P77" s="46">
        <v>20572.810000000001</v>
      </c>
      <c r="Q77" s="26" t="s">
        <v>399</v>
      </c>
      <c r="R77" s="49" t="s">
        <v>981</v>
      </c>
      <c r="S77" s="26" t="s">
        <v>867</v>
      </c>
      <c r="T77" s="26" t="s">
        <v>868</v>
      </c>
      <c r="U77" s="26" t="s">
        <v>869</v>
      </c>
      <c r="V77" s="26" t="s">
        <v>870</v>
      </c>
    </row>
    <row r="78" spans="1:22" ht="244.8">
      <c r="A78" s="116"/>
      <c r="B78" s="116"/>
      <c r="C78" s="26" t="s">
        <v>871</v>
      </c>
      <c r="D78" s="26" t="s">
        <v>872</v>
      </c>
      <c r="E78" s="47">
        <v>21000</v>
      </c>
      <c r="F78" s="46" t="s">
        <v>841</v>
      </c>
      <c r="G78" s="47">
        <v>1000</v>
      </c>
      <c r="H78" s="46">
        <v>887.61</v>
      </c>
      <c r="I78" s="48">
        <v>46058</v>
      </c>
      <c r="J78" s="26">
        <v>-0.06</v>
      </c>
      <c r="K78" s="26">
        <v>887.55</v>
      </c>
      <c r="L78" s="26">
        <v>753.69</v>
      </c>
      <c r="M78" s="46">
        <v>27.862914459999999</v>
      </c>
      <c r="N78" s="46">
        <v>27</v>
      </c>
      <c r="O78" s="46">
        <v>23965.47</v>
      </c>
      <c r="P78" s="46">
        <v>20349.63</v>
      </c>
      <c r="Q78" s="26" t="s">
        <v>401</v>
      </c>
      <c r="R78" s="49" t="s">
        <v>982</v>
      </c>
      <c r="S78" s="26" t="s">
        <v>874</v>
      </c>
      <c r="T78" s="26" t="s">
        <v>875</v>
      </c>
      <c r="U78" s="26" t="s">
        <v>876</v>
      </c>
      <c r="V78" s="26" t="s">
        <v>877</v>
      </c>
    </row>
    <row r="79" spans="1:22" ht="244.8">
      <c r="A79" s="117"/>
      <c r="B79" s="117"/>
      <c r="C79" s="26" t="s">
        <v>878</v>
      </c>
      <c r="D79" s="26" t="s">
        <v>879</v>
      </c>
      <c r="E79" s="47">
        <v>18000</v>
      </c>
      <c r="F79" s="46" t="s">
        <v>81</v>
      </c>
      <c r="G79" s="47">
        <v>1000</v>
      </c>
      <c r="H79" s="46">
        <v>966.33</v>
      </c>
      <c r="I79" s="48">
        <v>45978</v>
      </c>
      <c r="J79" s="26">
        <v>4.87</v>
      </c>
      <c r="K79" s="26">
        <v>971.2</v>
      </c>
      <c r="L79" s="26">
        <v>973.11</v>
      </c>
      <c r="M79" s="46">
        <v>18.49739495</v>
      </c>
      <c r="N79" s="46">
        <v>18</v>
      </c>
      <c r="O79" s="46">
        <v>17393.939999999999</v>
      </c>
      <c r="P79" s="46">
        <v>17515.98</v>
      </c>
      <c r="Q79" s="26" t="s">
        <v>422</v>
      </c>
      <c r="R79" s="49" t="s">
        <v>983</v>
      </c>
      <c r="S79" s="26" t="s">
        <v>881</v>
      </c>
      <c r="T79" s="26" t="s">
        <v>882</v>
      </c>
      <c r="U79" s="26" t="s">
        <v>883</v>
      </c>
      <c r="V79" s="26" t="s">
        <v>884</v>
      </c>
    </row>
    <row r="80" spans="1:22" ht="244.8">
      <c r="A80" s="115" t="s">
        <v>885</v>
      </c>
      <c r="B80" s="115" t="s">
        <v>886</v>
      </c>
      <c r="C80" s="26" t="s">
        <v>887</v>
      </c>
      <c r="D80" s="26" t="s">
        <v>888</v>
      </c>
      <c r="E80" s="46">
        <v>18000</v>
      </c>
      <c r="F80" s="46" t="s">
        <v>841</v>
      </c>
      <c r="G80" s="47">
        <v>1000</v>
      </c>
      <c r="H80" s="46">
        <v>1015.5</v>
      </c>
      <c r="I80" s="48">
        <v>46054</v>
      </c>
      <c r="J80" s="26">
        <v>0.62</v>
      </c>
      <c r="K80" s="51">
        <v>1016.12</v>
      </c>
      <c r="L80" s="26">
        <v>862.86</v>
      </c>
      <c r="M80" s="46">
        <v>20.86085808</v>
      </c>
      <c r="N80" s="46">
        <v>20</v>
      </c>
      <c r="O80" s="46">
        <v>20310</v>
      </c>
      <c r="P80" s="46">
        <v>17257.2</v>
      </c>
      <c r="Q80" s="26" t="s">
        <v>403</v>
      </c>
      <c r="R80" s="49" t="s">
        <v>984</v>
      </c>
      <c r="S80" s="26" t="s">
        <v>890</v>
      </c>
      <c r="T80" s="26" t="s">
        <v>891</v>
      </c>
      <c r="U80" s="26" t="s">
        <v>892</v>
      </c>
      <c r="V80" s="26" t="s">
        <v>893</v>
      </c>
    </row>
    <row r="81" spans="1:22" ht="244.8">
      <c r="A81" s="116"/>
      <c r="B81" s="117"/>
      <c r="C81" s="26" t="s">
        <v>894</v>
      </c>
      <c r="D81" s="26" t="s">
        <v>895</v>
      </c>
      <c r="E81" s="46">
        <v>18000</v>
      </c>
      <c r="F81" s="46" t="s">
        <v>841</v>
      </c>
      <c r="G81" s="47">
        <v>1000</v>
      </c>
      <c r="H81" s="46">
        <v>1079.5899999999999</v>
      </c>
      <c r="I81" s="48">
        <v>45878</v>
      </c>
      <c r="J81" s="26">
        <v>31.88</v>
      </c>
      <c r="K81" s="51">
        <v>1111.47</v>
      </c>
      <c r="L81" s="26">
        <v>943.82</v>
      </c>
      <c r="M81" s="46">
        <v>19.071433110000001</v>
      </c>
      <c r="N81" s="46">
        <v>19</v>
      </c>
      <c r="O81" s="46">
        <v>20512.21</v>
      </c>
      <c r="P81" s="46">
        <v>17932.580000000002</v>
      </c>
      <c r="Q81" s="26" t="s">
        <v>405</v>
      </c>
      <c r="R81" s="49" t="s">
        <v>985</v>
      </c>
      <c r="S81" s="26" t="s">
        <v>897</v>
      </c>
      <c r="T81" s="26" t="s">
        <v>898</v>
      </c>
      <c r="U81" s="26" t="s">
        <v>899</v>
      </c>
      <c r="V81" s="26" t="s">
        <v>900</v>
      </c>
    </row>
    <row r="82" spans="1:22" ht="244.8">
      <c r="A82" s="116"/>
      <c r="B82" s="115" t="s">
        <v>901</v>
      </c>
      <c r="C82" s="26" t="s">
        <v>902</v>
      </c>
      <c r="D82" s="26" t="s">
        <v>903</v>
      </c>
      <c r="E82" s="46">
        <v>15000</v>
      </c>
      <c r="F82" s="46" t="s">
        <v>841</v>
      </c>
      <c r="G82" s="47">
        <v>1000</v>
      </c>
      <c r="H82" s="46">
        <v>1366.1</v>
      </c>
      <c r="I82" s="48">
        <v>45971</v>
      </c>
      <c r="J82" s="26">
        <v>23.44</v>
      </c>
      <c r="K82" s="51">
        <v>1389.54</v>
      </c>
      <c r="L82" s="26">
        <v>1179.96</v>
      </c>
      <c r="M82" s="46">
        <v>12.71229533</v>
      </c>
      <c r="N82" s="46">
        <v>12</v>
      </c>
      <c r="O82" s="46">
        <v>16393.2</v>
      </c>
      <c r="P82" s="46">
        <v>14159.52</v>
      </c>
      <c r="Q82" s="26" t="s">
        <v>407</v>
      </c>
      <c r="R82" s="49" t="s">
        <v>986</v>
      </c>
      <c r="S82" s="26" t="s">
        <v>905</v>
      </c>
      <c r="T82" s="26" t="s">
        <v>906</v>
      </c>
      <c r="U82" s="26" t="s">
        <v>907</v>
      </c>
      <c r="V82" s="26" t="s">
        <v>908</v>
      </c>
    </row>
    <row r="83" spans="1:22" ht="244.8">
      <c r="A83" s="116"/>
      <c r="B83" s="117"/>
      <c r="C83" s="26" t="s">
        <v>909</v>
      </c>
      <c r="D83" s="26" t="s">
        <v>910</v>
      </c>
      <c r="E83" s="46">
        <v>15000</v>
      </c>
      <c r="F83" s="46" t="s">
        <v>841</v>
      </c>
      <c r="G83" s="47">
        <v>1000</v>
      </c>
      <c r="H83" s="46">
        <v>1112.83</v>
      </c>
      <c r="I83" s="48">
        <v>45977</v>
      </c>
      <c r="J83" s="26">
        <v>13.97</v>
      </c>
      <c r="K83" s="51">
        <v>1126.8</v>
      </c>
      <c r="L83" s="26">
        <v>956.85</v>
      </c>
      <c r="M83" s="46">
        <v>15.67643831</v>
      </c>
      <c r="N83" s="46">
        <v>15</v>
      </c>
      <c r="O83" s="46">
        <v>16692.45</v>
      </c>
      <c r="P83" s="46">
        <v>14352.75</v>
      </c>
      <c r="Q83" s="26" t="s">
        <v>409</v>
      </c>
      <c r="R83" s="49" t="s">
        <v>987</v>
      </c>
      <c r="S83" s="26" t="s">
        <v>912</v>
      </c>
      <c r="T83" s="26" t="s">
        <v>913</v>
      </c>
      <c r="U83" s="26" t="s">
        <v>914</v>
      </c>
      <c r="V83" s="26" t="s">
        <v>915</v>
      </c>
    </row>
    <row r="84" spans="1:22" ht="316.8">
      <c r="A84" s="116"/>
      <c r="B84" s="115" t="s">
        <v>916</v>
      </c>
      <c r="C84" s="26" t="s">
        <v>917</v>
      </c>
      <c r="D84" s="26" t="s">
        <v>918</v>
      </c>
      <c r="E84" s="46">
        <v>15000</v>
      </c>
      <c r="F84" s="46" t="s">
        <v>841</v>
      </c>
      <c r="G84" s="47">
        <v>1000</v>
      </c>
      <c r="H84" s="46">
        <v>1080</v>
      </c>
      <c r="I84" s="48">
        <v>45945</v>
      </c>
      <c r="J84" s="26">
        <v>21.1</v>
      </c>
      <c r="K84" s="51">
        <v>1101.0999999999999</v>
      </c>
      <c r="L84" s="26">
        <v>943.51</v>
      </c>
      <c r="M84" s="46">
        <v>15.898082690000001</v>
      </c>
      <c r="N84" s="46">
        <v>15</v>
      </c>
      <c r="O84" s="46">
        <v>16200</v>
      </c>
      <c r="P84" s="46">
        <v>14152.65</v>
      </c>
      <c r="Q84" s="26" t="s">
        <v>411</v>
      </c>
      <c r="R84" s="49" t="s">
        <v>988</v>
      </c>
      <c r="S84" s="26" t="s">
        <v>920</v>
      </c>
      <c r="T84" s="26" t="s">
        <v>921</v>
      </c>
      <c r="U84" s="26" t="s">
        <v>922</v>
      </c>
      <c r="V84" s="26" t="s">
        <v>923</v>
      </c>
    </row>
    <row r="85" spans="1:22" ht="244.8">
      <c r="A85" s="117"/>
      <c r="B85" s="117"/>
      <c r="C85" s="26" t="s">
        <v>924</v>
      </c>
      <c r="D85" s="26" t="s">
        <v>925</v>
      </c>
      <c r="E85" s="46">
        <v>9000</v>
      </c>
      <c r="F85" s="46" t="s">
        <v>841</v>
      </c>
      <c r="G85" s="47">
        <v>1000</v>
      </c>
      <c r="H85" s="46">
        <v>1004.57</v>
      </c>
      <c r="I85" s="48">
        <v>45901</v>
      </c>
      <c r="J85" s="26">
        <v>29.38</v>
      </c>
      <c r="K85" s="51">
        <v>1033.95</v>
      </c>
      <c r="L85" s="26">
        <v>878</v>
      </c>
      <c r="M85" s="46">
        <v>10.250569479999999</v>
      </c>
      <c r="N85" s="46">
        <v>10</v>
      </c>
      <c r="O85" s="46">
        <v>10045.700000000001</v>
      </c>
      <c r="P85" s="46">
        <v>8780</v>
      </c>
      <c r="Q85" s="26" t="s">
        <v>413</v>
      </c>
      <c r="R85" s="49" t="s">
        <v>989</v>
      </c>
      <c r="S85" s="26" t="s">
        <v>927</v>
      </c>
      <c r="T85" s="26" t="s">
        <v>928</v>
      </c>
      <c r="U85" s="26" t="s">
        <v>929</v>
      </c>
      <c r="V85" s="26" t="s">
        <v>930</v>
      </c>
    </row>
    <row r="86" spans="1:22" ht="316.8">
      <c r="A86" s="115" t="s">
        <v>931</v>
      </c>
      <c r="B86" s="115" t="s">
        <v>932</v>
      </c>
      <c r="C86" s="26" t="s">
        <v>999</v>
      </c>
      <c r="D86" s="26" t="s">
        <v>933</v>
      </c>
      <c r="E86" s="46">
        <v>15000</v>
      </c>
      <c r="F86" s="46" t="s">
        <v>81</v>
      </c>
      <c r="G86" s="47">
        <v>1000</v>
      </c>
      <c r="H86" s="46">
        <v>925.86</v>
      </c>
      <c r="I86" s="48">
        <v>45901</v>
      </c>
      <c r="J86" s="26">
        <v>13.25</v>
      </c>
      <c r="K86" s="26">
        <v>939.11</v>
      </c>
      <c r="L86" s="26">
        <v>939.51</v>
      </c>
      <c r="M86" s="46">
        <v>15.96576939</v>
      </c>
      <c r="N86" s="46">
        <v>15</v>
      </c>
      <c r="O86" s="46">
        <v>13887.9</v>
      </c>
      <c r="P86" s="46">
        <v>14092.65</v>
      </c>
      <c r="Q86" s="26" t="s">
        <v>397</v>
      </c>
      <c r="R86" s="49" t="s">
        <v>990</v>
      </c>
      <c r="S86" s="26" t="s">
        <v>934</v>
      </c>
      <c r="T86" s="26" t="s">
        <v>935</v>
      </c>
      <c r="U86" s="26" t="s">
        <v>936</v>
      </c>
      <c r="V86" s="26" t="s">
        <v>937</v>
      </c>
    </row>
    <row r="87" spans="1:22" ht="244.8">
      <c r="A87" s="116"/>
      <c r="B87" s="117"/>
      <c r="C87" s="26" t="s">
        <v>998</v>
      </c>
      <c r="D87" s="26" t="s">
        <v>938</v>
      </c>
      <c r="E87" s="46">
        <v>15000</v>
      </c>
      <c r="F87" s="46" t="s">
        <v>81</v>
      </c>
      <c r="G87" s="47">
        <v>1000</v>
      </c>
      <c r="H87" s="46">
        <v>1184.56</v>
      </c>
      <c r="I87" s="48">
        <v>46026</v>
      </c>
      <c r="J87" s="26">
        <v>4.03</v>
      </c>
      <c r="K87" s="51">
        <v>1188.5899999999999</v>
      </c>
      <c r="L87" s="26">
        <v>1189.0999999999999</v>
      </c>
      <c r="M87" s="46">
        <v>12.614582459999999</v>
      </c>
      <c r="N87" s="46">
        <v>12</v>
      </c>
      <c r="O87" s="46">
        <v>14214.72</v>
      </c>
      <c r="P87" s="46">
        <v>14269.2</v>
      </c>
      <c r="Q87" s="26" t="s">
        <v>939</v>
      </c>
      <c r="R87" s="49" t="s">
        <v>991</v>
      </c>
      <c r="S87" s="26" t="s">
        <v>941</v>
      </c>
      <c r="T87" s="26" t="s">
        <v>942</v>
      </c>
      <c r="U87" s="26" t="s">
        <v>943</v>
      </c>
      <c r="V87" s="26" t="s">
        <v>944</v>
      </c>
    </row>
    <row r="88" spans="1:22" ht="244.8">
      <c r="A88" s="116"/>
      <c r="B88" s="115" t="s">
        <v>945</v>
      </c>
      <c r="C88" s="26" t="s">
        <v>946</v>
      </c>
      <c r="D88" s="26" t="s">
        <v>947</v>
      </c>
      <c r="E88" s="46">
        <v>10000</v>
      </c>
      <c r="F88" s="46" t="s">
        <v>841</v>
      </c>
      <c r="G88" s="47">
        <v>1000</v>
      </c>
      <c r="H88" s="46">
        <v>1152.58</v>
      </c>
      <c r="I88" s="48">
        <v>45976</v>
      </c>
      <c r="J88" s="26">
        <v>14.2</v>
      </c>
      <c r="K88" s="51">
        <v>1166.78</v>
      </c>
      <c r="L88" s="26">
        <v>990.8</v>
      </c>
      <c r="M88" s="46">
        <v>10.092854259999999</v>
      </c>
      <c r="N88" s="46">
        <v>10</v>
      </c>
      <c r="O88" s="46">
        <v>11525.8</v>
      </c>
      <c r="P88" s="46">
        <v>9908</v>
      </c>
      <c r="Q88" s="26" t="s">
        <v>415</v>
      </c>
      <c r="R88" s="49" t="s">
        <v>992</v>
      </c>
      <c r="S88" s="26" t="s">
        <v>949</v>
      </c>
      <c r="T88" s="26" t="s">
        <v>950</v>
      </c>
      <c r="U88" s="26" t="s">
        <v>951</v>
      </c>
      <c r="V88" s="26" t="s">
        <v>952</v>
      </c>
    </row>
    <row r="89" spans="1:22" ht="244.8">
      <c r="A89" s="116"/>
      <c r="B89" s="116"/>
      <c r="C89" s="26" t="s">
        <v>953</v>
      </c>
      <c r="D89" s="26" t="s">
        <v>954</v>
      </c>
      <c r="E89" s="46">
        <v>8000</v>
      </c>
      <c r="F89" s="46" t="s">
        <v>841</v>
      </c>
      <c r="G89" s="47">
        <v>1000</v>
      </c>
      <c r="H89" s="46">
        <v>1041.4000000000001</v>
      </c>
      <c r="I89" s="48">
        <v>45945</v>
      </c>
      <c r="J89" s="26">
        <v>16.88</v>
      </c>
      <c r="K89" s="51">
        <v>1058.28</v>
      </c>
      <c r="L89" s="26">
        <v>898.66</v>
      </c>
      <c r="M89" s="46">
        <v>8.9021431910000004</v>
      </c>
      <c r="N89" s="46">
        <v>8</v>
      </c>
      <c r="O89" s="46">
        <v>8331.2000000000007</v>
      </c>
      <c r="P89" s="46">
        <v>7189.28</v>
      </c>
      <c r="Q89" s="26" t="s">
        <v>417</v>
      </c>
      <c r="R89" s="49" t="s">
        <v>993</v>
      </c>
      <c r="S89" s="26" t="s">
        <v>956</v>
      </c>
      <c r="T89" s="26" t="s">
        <v>957</v>
      </c>
      <c r="U89" s="26" t="s">
        <v>958</v>
      </c>
      <c r="V89" s="26" t="s">
        <v>959</v>
      </c>
    </row>
    <row r="90" spans="1:22" ht="244.8">
      <c r="A90" s="116"/>
      <c r="B90" s="116"/>
      <c r="C90" s="26" t="s">
        <v>960</v>
      </c>
      <c r="D90" s="26" t="s">
        <v>961</v>
      </c>
      <c r="E90" s="46">
        <v>7000</v>
      </c>
      <c r="F90" s="46" t="s">
        <v>81</v>
      </c>
      <c r="G90" s="47">
        <v>1000</v>
      </c>
      <c r="H90" s="46">
        <v>838.91</v>
      </c>
      <c r="I90" s="48">
        <v>45921</v>
      </c>
      <c r="J90" s="26">
        <v>6.99</v>
      </c>
      <c r="K90" s="26">
        <v>845.9</v>
      </c>
      <c r="L90" s="26">
        <v>849.84</v>
      </c>
      <c r="M90" s="46">
        <v>8.2368445829999999</v>
      </c>
      <c r="N90" s="46">
        <v>8</v>
      </c>
      <c r="O90" s="46">
        <v>6711.28</v>
      </c>
      <c r="P90" s="46">
        <v>6798.72</v>
      </c>
      <c r="Q90" s="26" t="s">
        <v>424</v>
      </c>
      <c r="R90" s="49" t="s">
        <v>994</v>
      </c>
      <c r="S90" s="26" t="s">
        <v>963</v>
      </c>
      <c r="T90" s="26" t="s">
        <v>964</v>
      </c>
      <c r="U90" s="26" t="s">
        <v>965</v>
      </c>
      <c r="V90" s="26" t="s">
        <v>966</v>
      </c>
    </row>
    <row r="91" spans="1:22" ht="244.8">
      <c r="A91" s="117"/>
      <c r="B91" s="117"/>
      <c r="C91" s="26" t="s">
        <v>967</v>
      </c>
      <c r="D91" s="26" t="s">
        <v>968</v>
      </c>
      <c r="E91" s="46">
        <v>5000</v>
      </c>
      <c r="F91" s="46" t="s">
        <v>81</v>
      </c>
      <c r="G91" s="47">
        <v>1000</v>
      </c>
      <c r="H91" s="46">
        <v>749.91</v>
      </c>
      <c r="I91" s="48">
        <v>45991</v>
      </c>
      <c r="J91" s="26">
        <v>2.78</v>
      </c>
      <c r="K91" s="26">
        <v>752.69</v>
      </c>
      <c r="L91" s="26">
        <v>755.78</v>
      </c>
      <c r="M91" s="46">
        <v>6.6156818120000001</v>
      </c>
      <c r="N91" s="46">
        <v>6</v>
      </c>
      <c r="O91" s="46">
        <v>4499.46</v>
      </c>
      <c r="P91" s="46">
        <v>4534.68</v>
      </c>
      <c r="Q91" s="26" t="s">
        <v>426</v>
      </c>
      <c r="R91" s="49" t="s">
        <v>995</v>
      </c>
      <c r="S91" s="26" t="s">
        <v>970</v>
      </c>
      <c r="T91" s="26" t="s">
        <v>971</v>
      </c>
      <c r="U91" s="26" t="s">
        <v>972</v>
      </c>
      <c r="V91" s="26" t="s">
        <v>973</v>
      </c>
    </row>
    <row r="92" spans="1:22" ht="230.4">
      <c r="A92" s="26" t="s">
        <v>974</v>
      </c>
      <c r="B92" s="110"/>
      <c r="C92" s="26"/>
      <c r="D92" s="46"/>
      <c r="E92" s="46">
        <v>30000</v>
      </c>
      <c r="F92" s="46"/>
      <c r="G92" s="46"/>
      <c r="H92" s="46"/>
      <c r="I92" s="46"/>
      <c r="J92" s="26"/>
      <c r="K92" s="26"/>
      <c r="L92" s="26"/>
      <c r="M92" s="46"/>
      <c r="N92" s="46"/>
      <c r="O92" s="46"/>
      <c r="P92" s="46"/>
      <c r="Q92" s="26"/>
      <c r="R92" s="49" t="s">
        <v>996</v>
      </c>
      <c r="S92" s="26" t="s">
        <v>976</v>
      </c>
      <c r="T92" s="26"/>
      <c r="U92" s="26" t="s">
        <v>977</v>
      </c>
      <c r="V92" s="26" t="s">
        <v>978</v>
      </c>
    </row>
  </sheetData>
  <mergeCells count="20">
    <mergeCell ref="A64:A69"/>
    <mergeCell ref="B64:B65"/>
    <mergeCell ref="B66:B69"/>
    <mergeCell ref="A52:A57"/>
    <mergeCell ref="B52:B54"/>
    <mergeCell ref="B55:B57"/>
    <mergeCell ref="A58:A63"/>
    <mergeCell ref="B58:B59"/>
    <mergeCell ref="B60:B61"/>
    <mergeCell ref="B62:B63"/>
    <mergeCell ref="A86:A91"/>
    <mergeCell ref="B86:B87"/>
    <mergeCell ref="B88:B91"/>
    <mergeCell ref="A74:A79"/>
    <mergeCell ref="B74:B76"/>
    <mergeCell ref="B77:B79"/>
    <mergeCell ref="A80:A85"/>
    <mergeCell ref="B80:B81"/>
    <mergeCell ref="B82:B83"/>
    <mergeCell ref="B84:B8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Formeyannis</vt:lpstr>
      <vt:lpstr>Our strategy</vt:lpstr>
      <vt:lpstr>Trading Contest rules</vt:lpstr>
      <vt:lpstr>Mutual Fund</vt:lpstr>
      <vt:lpstr>Trading_Journal</vt:lpstr>
      <vt:lpstr>Dashboard</vt:lpstr>
      <vt:lpstr>Bonds</vt:lpstr>
      <vt:lpstr>Bonds Strategy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yannis khalfi</cp:lastModifiedBy>
  <cp:revision/>
  <dcterms:created xsi:type="dcterms:W3CDTF">2026-01-13T22:34:19Z</dcterms:created>
  <dcterms:modified xsi:type="dcterms:W3CDTF">2026-04-01T18:01:01Z</dcterms:modified>
  <cp:category/>
  <cp:contentStatus/>
</cp:coreProperties>
</file>